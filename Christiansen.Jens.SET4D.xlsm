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ns\Desktop\comp4560\"/>
    </mc:Choice>
  </mc:AlternateContent>
  <bookViews>
    <workbookView xWindow="-12" yWindow="120" windowWidth="11292" windowHeight="4356" firstSheet="1" activeTab="1"/>
  </bookViews>
  <sheets>
    <sheet name="200810BFG" sheetId="2" state="hidden" r:id="rId1"/>
    <sheet name="Main" sheetId="1" r:id="rId2"/>
  </sheets>
  <calcPr calcId="152511"/>
</workbook>
</file>

<file path=xl/calcChain.xml><?xml version="1.0" encoding="utf-8"?>
<calcChain xmlns="http://schemas.openxmlformats.org/spreadsheetml/2006/main">
  <c r="T254" i="1" l="1"/>
  <c r="T260" i="1"/>
  <c r="T270" i="1"/>
  <c r="T280" i="1"/>
  <c r="T286" i="1"/>
  <c r="T292" i="1"/>
  <c r="T296" i="1"/>
  <c r="T299" i="1"/>
  <c r="S254" i="1"/>
  <c r="S260" i="1"/>
  <c r="S270" i="1"/>
  <c r="S280" i="1"/>
  <c r="S286" i="1"/>
  <c r="S292" i="1"/>
  <c r="S296" i="1"/>
  <c r="S299" i="1"/>
  <c r="F230" i="1"/>
  <c r="D120" i="1"/>
  <c r="D117" i="1" s="1"/>
  <c r="C120" i="1"/>
  <c r="C144" i="1" s="1"/>
  <c r="B120" i="1"/>
  <c r="B145" i="1" s="1"/>
  <c r="E108" i="1"/>
  <c r="E96" i="1"/>
  <c r="J114" i="1" s="1"/>
  <c r="E97" i="1"/>
  <c r="J115" i="1" s="1"/>
  <c r="E95" i="1"/>
  <c r="J113" i="1" s="1"/>
  <c r="D116" i="1" l="1"/>
  <c r="B114" i="1"/>
  <c r="B123" i="1"/>
  <c r="B139" i="1"/>
  <c r="B116" i="1"/>
  <c r="B131" i="1"/>
  <c r="B135" i="1"/>
  <c r="B140" i="1"/>
  <c r="B141" i="1"/>
  <c r="B117" i="1"/>
  <c r="B124" i="1"/>
  <c r="B136" i="1"/>
  <c r="B142" i="1"/>
  <c r="B115" i="1"/>
  <c r="B130" i="1"/>
  <c r="B138" i="1"/>
  <c r="B143" i="1"/>
  <c r="C116" i="1"/>
  <c r="D145" i="1"/>
  <c r="B144" i="1"/>
  <c r="D122" i="1"/>
  <c r="D125" i="1"/>
  <c r="D127" i="1"/>
  <c r="C129" i="1"/>
  <c r="D130" i="1"/>
  <c r="C132" i="1"/>
  <c r="C134" i="1"/>
  <c r="D137" i="1"/>
  <c r="D141" i="1"/>
  <c r="D144" i="1"/>
  <c r="C119" i="1"/>
  <c r="C124" i="1"/>
  <c r="C126" i="1"/>
  <c r="C128" i="1"/>
  <c r="D129" i="1"/>
  <c r="D132" i="1"/>
  <c r="C136" i="1"/>
  <c r="C140" i="1"/>
  <c r="C143" i="1"/>
  <c r="C114" i="1"/>
  <c r="C115" i="1" s="1"/>
  <c r="C118" i="1"/>
  <c r="D119" i="1"/>
  <c r="D121" i="1"/>
  <c r="C123" i="1"/>
  <c r="D124" i="1"/>
  <c r="D126" i="1"/>
  <c r="D128" i="1"/>
  <c r="C131" i="1"/>
  <c r="C133" i="1"/>
  <c r="C135" i="1"/>
  <c r="D136" i="1"/>
  <c r="D138" i="1"/>
  <c r="C142" i="1"/>
  <c r="C145" i="1"/>
  <c r="D114" i="1"/>
  <c r="D115" i="1" s="1"/>
  <c r="C117" i="1"/>
  <c r="D118" i="1"/>
  <c r="B122" i="1"/>
  <c r="D123" i="1"/>
  <c r="C125" i="1"/>
  <c r="C127" i="1"/>
  <c r="B129" i="1"/>
  <c r="C130" i="1"/>
  <c r="D131" i="1"/>
  <c r="B134" i="1"/>
  <c r="D135" i="1"/>
  <c r="B137" i="1"/>
  <c r="C141" i="1"/>
  <c r="D142" i="1"/>
  <c r="D32" i="1"/>
  <c r="C32" i="1"/>
  <c r="B32" i="1"/>
  <c r="B118" i="1" l="1"/>
  <c r="B119" i="1"/>
  <c r="B26" i="1"/>
  <c r="T66" i="1" l="1"/>
  <c r="B51" i="1"/>
  <c r="U66" i="1" s="1"/>
  <c r="C52" i="1"/>
  <c r="T67" i="1"/>
  <c r="B52" i="1"/>
  <c r="U67" i="1" s="1"/>
  <c r="C53" i="1"/>
  <c r="B53" i="1"/>
  <c r="U68" i="1" s="1"/>
  <c r="T69" i="1"/>
  <c r="B50" i="1"/>
  <c r="U69" i="1" s="1"/>
  <c r="C56" i="1"/>
  <c r="B56" i="1"/>
  <c r="U71" i="1" s="1"/>
  <c r="C57" i="1"/>
  <c r="B57" i="1"/>
  <c r="U72" i="1" s="1"/>
  <c r="C28" i="1"/>
  <c r="B28" i="1"/>
  <c r="U73" i="1" s="1"/>
  <c r="C26" i="1"/>
  <c r="U75" i="1"/>
  <c r="B27" i="1"/>
  <c r="U76" i="1" s="1"/>
  <c r="C29" i="1"/>
  <c r="B29" i="1"/>
  <c r="U78" i="1" s="1"/>
  <c r="C30" i="1"/>
  <c r="C31" i="1"/>
  <c r="F8" i="1"/>
  <c r="F12" i="1" s="1"/>
  <c r="D8" i="1"/>
  <c r="D12" i="1" s="1"/>
  <c r="D53" i="1"/>
  <c r="T6" i="1"/>
  <c r="T7" i="1"/>
  <c r="C55" i="1"/>
  <c r="B55" i="1"/>
  <c r="U8" i="1" s="1"/>
  <c r="C46" i="1"/>
  <c r="B46" i="1"/>
  <c r="U9" i="1" s="1"/>
  <c r="C45" i="1"/>
  <c r="U10" i="1"/>
  <c r="T11" i="1"/>
  <c r="U11" i="1"/>
  <c r="T13" i="1"/>
  <c r="B49" i="1"/>
  <c r="U13" i="1" s="1"/>
  <c r="T14" i="1"/>
  <c r="C54" i="1"/>
  <c r="B54" i="1"/>
  <c r="U16" i="1" s="1"/>
  <c r="C47" i="1"/>
  <c r="B47" i="1"/>
  <c r="U17" i="1" s="1"/>
  <c r="C48" i="1"/>
  <c r="B48" i="1"/>
  <c r="U18" i="1" s="1"/>
  <c r="T19" i="1"/>
  <c r="T21" i="1"/>
  <c r="U21" i="1"/>
  <c r="T22" i="1"/>
  <c r="B34" i="1"/>
  <c r="U49" i="1" s="1"/>
  <c r="C35" i="1"/>
  <c r="B35" i="1"/>
  <c r="U23" i="1" s="1"/>
  <c r="C38" i="1"/>
  <c r="U24" i="1"/>
  <c r="T25" i="1"/>
  <c r="U25" i="1"/>
  <c r="C42" i="1"/>
  <c r="B42" i="1"/>
  <c r="U27" i="1" s="1"/>
  <c r="C43" i="1"/>
  <c r="B43" i="1"/>
  <c r="U28" i="1" s="1"/>
  <c r="C44" i="1"/>
  <c r="U29" i="1"/>
  <c r="C39" i="1"/>
  <c r="U30" i="1"/>
  <c r="C41" i="1"/>
  <c r="B41" i="1"/>
  <c r="U33" i="1" s="1"/>
  <c r="C40" i="1"/>
  <c r="U34" i="1"/>
  <c r="C37" i="1"/>
  <c r="U35" i="1"/>
  <c r="C36" i="1"/>
  <c r="B36" i="1"/>
  <c r="U36" i="1" s="1"/>
  <c r="T39" i="1"/>
  <c r="U39" i="1"/>
  <c r="T40" i="1"/>
  <c r="U40" i="1"/>
  <c r="U41" i="1"/>
  <c r="U42" i="1"/>
  <c r="U43" i="1"/>
  <c r="U44" i="1"/>
  <c r="U45" i="1"/>
  <c r="U46" i="1"/>
  <c r="T47" i="1"/>
  <c r="U47" i="1"/>
  <c r="T49" i="1"/>
  <c r="T50" i="1"/>
  <c r="T56" i="1"/>
  <c r="T57" i="1"/>
  <c r="U62" i="1"/>
  <c r="T65" i="1"/>
  <c r="U65" i="1"/>
  <c r="U5" i="1"/>
  <c r="T5" i="1"/>
  <c r="D57" i="1"/>
  <c r="D56" i="1"/>
  <c r="D54" i="1"/>
  <c r="D50" i="1"/>
  <c r="D49" i="1"/>
  <c r="D48" i="1"/>
  <c r="D47" i="1"/>
  <c r="D44" i="1"/>
  <c r="D43" i="1"/>
  <c r="D40" i="1"/>
  <c r="D42" i="1"/>
  <c r="D41" i="1"/>
  <c r="D39" i="1"/>
  <c r="D38" i="1"/>
  <c r="D37" i="1"/>
  <c r="D36" i="1"/>
  <c r="D35" i="1"/>
  <c r="D34" i="1"/>
  <c r="D33" i="1"/>
  <c r="D31" i="1"/>
  <c r="D30" i="1"/>
  <c r="D68" i="1" s="1"/>
  <c r="D29" i="1"/>
  <c r="D28" i="1"/>
  <c r="D26" i="1"/>
  <c r="D27" i="1" s="1"/>
  <c r="T43" i="1"/>
  <c r="T33" i="1" l="1"/>
  <c r="T27" i="1"/>
  <c r="T41" i="1"/>
  <c r="T8" i="1"/>
  <c r="T72" i="1"/>
  <c r="T18" i="1"/>
  <c r="T16" i="1"/>
  <c r="D67" i="1"/>
  <c r="D69" i="1" s="1"/>
  <c r="D88" i="1"/>
  <c r="T78" i="1"/>
  <c r="T35" i="1"/>
  <c r="T29" i="1"/>
  <c r="T24" i="1"/>
  <c r="B67" i="1"/>
  <c r="B88" i="1"/>
  <c r="T75" i="1"/>
  <c r="T36" i="1"/>
  <c r="T34" i="1"/>
  <c r="T30" i="1"/>
  <c r="T28" i="1"/>
  <c r="T23" i="1"/>
  <c r="T9" i="1"/>
  <c r="T80" i="1"/>
  <c r="T73" i="1"/>
  <c r="T71" i="1"/>
  <c r="T15" i="1"/>
  <c r="T17" i="1"/>
  <c r="T63" i="1"/>
  <c r="U61" i="1"/>
  <c r="T79" i="1"/>
  <c r="C68" i="1"/>
  <c r="T42" i="1"/>
  <c r="T53" i="1"/>
  <c r="T44" i="1"/>
  <c r="T46" i="1"/>
  <c r="T60" i="1"/>
  <c r="T31" i="1"/>
  <c r="T62" i="1"/>
  <c r="C27" i="1"/>
  <c r="U53" i="1"/>
  <c r="T10" i="1"/>
  <c r="T61" i="1"/>
  <c r="T52" i="1"/>
  <c r="T54" i="1"/>
  <c r="T51" i="1"/>
  <c r="T59" i="1"/>
  <c r="U51" i="1"/>
  <c r="U14" i="1"/>
  <c r="B30" i="1"/>
  <c r="U60" i="1"/>
  <c r="U52" i="1"/>
  <c r="U50" i="1"/>
  <c r="U19" i="1"/>
  <c r="U31" i="1"/>
  <c r="U63" i="1"/>
  <c r="U59" i="1"/>
  <c r="B31" i="1"/>
  <c r="U80" i="1" s="1"/>
  <c r="T45" i="1"/>
  <c r="T37" i="1"/>
  <c r="T68" i="1"/>
  <c r="T55" i="1"/>
  <c r="U6" i="1"/>
  <c r="U55" i="1"/>
  <c r="U15" i="1"/>
  <c r="U7" i="1"/>
  <c r="U37" i="1"/>
  <c r="U54" i="1"/>
  <c r="U56" i="1"/>
  <c r="U22" i="1"/>
  <c r="E12" i="1"/>
  <c r="U57" i="1"/>
  <c r="C67" i="1" l="1"/>
  <c r="C69" i="1" s="1"/>
  <c r="C88" i="1"/>
  <c r="T76" i="1"/>
  <c r="U79" i="1"/>
  <c r="B68" i="1"/>
  <c r="B69" i="1" s="1"/>
  <c r="E98" i="1" l="1"/>
  <c r="J116" i="1" s="1"/>
  <c r="D70" i="1"/>
  <c r="B70" i="1"/>
  <c r="B83" i="1" s="1"/>
  <c r="C70" i="1"/>
  <c r="C83" i="1" s="1"/>
  <c r="C102" i="1" l="1"/>
  <c r="D91" i="1"/>
  <c r="D83" i="1"/>
  <c r="D74" i="1"/>
  <c r="P113" i="1"/>
  <c r="P136" i="1"/>
  <c r="P128" i="1"/>
  <c r="P140" i="1"/>
  <c r="P139" i="1"/>
  <c r="P116" i="1"/>
  <c r="P120" i="1"/>
  <c r="P144" i="1"/>
  <c r="P127" i="1"/>
  <c r="P123" i="1"/>
  <c r="P134" i="1"/>
  <c r="P130" i="1"/>
  <c r="P142" i="1"/>
  <c r="P129" i="1"/>
  <c r="P114" i="1"/>
  <c r="P138" i="1"/>
  <c r="P135" i="1"/>
  <c r="P118" i="1"/>
  <c r="P115" i="1"/>
  <c r="P133" i="1"/>
  <c r="P121" i="1"/>
  <c r="P126" i="1"/>
  <c r="P122" i="1"/>
  <c r="P124" i="1"/>
  <c r="P137" i="1"/>
  <c r="P117" i="1"/>
  <c r="P132" i="1"/>
  <c r="P141" i="1"/>
  <c r="P143" i="1"/>
  <c r="P125" i="1"/>
  <c r="P145" i="1"/>
  <c r="P131" i="1"/>
  <c r="P119" i="1"/>
  <c r="D90" i="1"/>
  <c r="B102" i="1"/>
  <c r="C74" i="1"/>
  <c r="B74" i="1"/>
  <c r="C75" i="1" l="1"/>
  <c r="D75" i="1"/>
  <c r="D102" i="1"/>
  <c r="D92" i="1"/>
  <c r="D97" i="1" s="1"/>
  <c r="I115" i="1" s="1"/>
  <c r="C82" i="1"/>
  <c r="D96" i="1"/>
  <c r="I114" i="1" s="1"/>
  <c r="D98" i="1"/>
  <c r="I116" i="1" s="1"/>
  <c r="B75" i="1"/>
  <c r="D95" i="1" l="1"/>
  <c r="I113" i="1" s="1"/>
  <c r="O115" i="1" s="1"/>
  <c r="D108" i="1"/>
  <c r="C78" i="1"/>
  <c r="C81" i="1" s="1"/>
  <c r="B82" i="1"/>
  <c r="O113" i="1"/>
  <c r="O114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E107" i="1"/>
  <c r="C101" i="1"/>
  <c r="C91" i="1"/>
  <c r="D107" i="1"/>
  <c r="D78" i="1"/>
  <c r="D81" i="1" s="1"/>
  <c r="D82" i="1"/>
  <c r="B78" i="1"/>
  <c r="B81" i="1" s="1"/>
  <c r="B100" i="1" l="1"/>
  <c r="B90" i="1"/>
  <c r="B101" i="1"/>
  <c r="C90" i="1"/>
  <c r="D101" i="1"/>
  <c r="C92" i="1"/>
  <c r="B91" i="1"/>
  <c r="C100" i="1"/>
  <c r="D100" i="1"/>
  <c r="B92" i="1"/>
  <c r="E105" i="1" l="1"/>
  <c r="B105" i="1"/>
  <c r="C105" i="1"/>
  <c r="D105" i="1"/>
  <c r="C96" i="1"/>
  <c r="H114" i="1" s="1"/>
  <c r="C97" i="1"/>
  <c r="H115" i="1" s="1"/>
  <c r="C108" i="1"/>
  <c r="C95" i="1"/>
  <c r="H113" i="1" s="1"/>
  <c r="C98" i="1"/>
  <c r="H116" i="1" s="1"/>
  <c r="C107" i="1"/>
  <c r="D106" i="1"/>
  <c r="E106" i="1"/>
  <c r="B106" i="1"/>
  <c r="C106" i="1"/>
  <c r="B108" i="1"/>
  <c r="B97" i="1"/>
  <c r="G115" i="1" s="1"/>
  <c r="B95" i="1"/>
  <c r="G113" i="1" s="1"/>
  <c r="B96" i="1"/>
  <c r="G114" i="1" s="1"/>
  <c r="B98" i="1"/>
  <c r="G116" i="1" s="1"/>
  <c r="B107" i="1"/>
  <c r="M113" i="1" l="1"/>
  <c r="M114" i="1"/>
  <c r="M118" i="1"/>
  <c r="M122" i="1"/>
  <c r="M126" i="1"/>
  <c r="M130" i="1"/>
  <c r="M134" i="1"/>
  <c r="M138" i="1"/>
  <c r="M142" i="1"/>
  <c r="M117" i="1"/>
  <c r="M129" i="1"/>
  <c r="M145" i="1"/>
  <c r="M115" i="1"/>
  <c r="M119" i="1"/>
  <c r="M123" i="1"/>
  <c r="M127" i="1"/>
  <c r="M131" i="1"/>
  <c r="M135" i="1"/>
  <c r="M139" i="1"/>
  <c r="M143" i="1"/>
  <c r="M125" i="1"/>
  <c r="M137" i="1"/>
  <c r="M116" i="1"/>
  <c r="M120" i="1"/>
  <c r="M124" i="1"/>
  <c r="M128" i="1"/>
  <c r="M132" i="1"/>
  <c r="M136" i="1"/>
  <c r="M140" i="1"/>
  <c r="M144" i="1"/>
  <c r="M121" i="1"/>
  <c r="M133" i="1"/>
  <c r="M141" i="1"/>
  <c r="N114" i="1"/>
  <c r="B219" i="1" s="1"/>
  <c r="N115" i="1"/>
  <c r="B220" i="1" s="1"/>
  <c r="N116" i="1"/>
  <c r="B217" i="1" s="1"/>
  <c r="N117" i="1"/>
  <c r="B222" i="1" s="1"/>
  <c r="N118" i="1"/>
  <c r="B223" i="1" s="1"/>
  <c r="N119" i="1"/>
  <c r="B224" i="1" s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B215" i="1" s="1"/>
  <c r="N145" i="1"/>
  <c r="B216" i="1" s="1"/>
  <c r="N113" i="1"/>
  <c r="B149" i="1" s="1"/>
  <c r="B151" i="1" l="1"/>
  <c r="B211" i="1"/>
  <c r="B188" i="1"/>
  <c r="B178" i="1"/>
  <c r="J250" i="1"/>
  <c r="I250" i="1"/>
  <c r="K250" i="1"/>
  <c r="C162" i="1"/>
  <c r="C195" i="1"/>
  <c r="L250" i="1"/>
  <c r="J257" i="1"/>
  <c r="C152" i="1"/>
  <c r="K257" i="1"/>
  <c r="C204" i="1"/>
  <c r="I257" i="1"/>
  <c r="L257" i="1"/>
  <c r="J252" i="1"/>
  <c r="K252" i="1"/>
  <c r="C158" i="1"/>
  <c r="C209" i="1"/>
  <c r="C213" i="1"/>
  <c r="I252" i="1"/>
  <c r="O252" i="1" s="1"/>
  <c r="L252" i="1"/>
  <c r="J236" i="1"/>
  <c r="C166" i="1"/>
  <c r="K236" i="1"/>
  <c r="I236" i="1"/>
  <c r="L236" i="1"/>
  <c r="C193" i="1"/>
  <c r="C201" i="1"/>
  <c r="B152" i="1"/>
  <c r="B204" i="1"/>
  <c r="B210" i="1"/>
  <c r="B150" i="1"/>
  <c r="B206" i="1"/>
  <c r="B161" i="1"/>
  <c r="B172" i="1"/>
  <c r="B196" i="1"/>
  <c r="B174" i="1"/>
  <c r="B187" i="1"/>
  <c r="B167" i="1"/>
  <c r="B200" i="1"/>
  <c r="J235" i="1"/>
  <c r="I235" i="1"/>
  <c r="C169" i="1"/>
  <c r="K235" i="1"/>
  <c r="C165" i="1"/>
  <c r="L235" i="1"/>
  <c r="C183" i="1"/>
  <c r="C191" i="1"/>
  <c r="J246" i="1"/>
  <c r="K246" i="1"/>
  <c r="C186" i="1"/>
  <c r="L246" i="1"/>
  <c r="C173" i="1"/>
  <c r="I246" i="1"/>
  <c r="O246" i="1" s="1"/>
  <c r="J230" i="1"/>
  <c r="C217" i="1"/>
  <c r="I230" i="1"/>
  <c r="O230" i="1" s="1"/>
  <c r="S295" i="1" s="1"/>
  <c r="K230" i="1"/>
  <c r="L230" i="1"/>
  <c r="J253" i="1"/>
  <c r="P253" i="1" s="1"/>
  <c r="I253" i="1"/>
  <c r="O253" i="1" s="1"/>
  <c r="K253" i="1"/>
  <c r="L253" i="1"/>
  <c r="C150" i="1"/>
  <c r="C210" i="1"/>
  <c r="J237" i="1"/>
  <c r="P237" i="1" s="1"/>
  <c r="K237" i="1"/>
  <c r="C167" i="1"/>
  <c r="L237" i="1"/>
  <c r="C200" i="1"/>
  <c r="I237" i="1"/>
  <c r="J243" i="1"/>
  <c r="C198" i="1"/>
  <c r="K243" i="1"/>
  <c r="C177" i="1"/>
  <c r="C181" i="1"/>
  <c r="L243" i="1"/>
  <c r="I243" i="1"/>
  <c r="O243" i="1" s="1"/>
  <c r="J248" i="1"/>
  <c r="K248" i="1"/>
  <c r="C153" i="1"/>
  <c r="I248" i="1"/>
  <c r="O248" i="1" s="1"/>
  <c r="L248" i="1"/>
  <c r="C205" i="1"/>
  <c r="J232" i="1"/>
  <c r="C223" i="1"/>
  <c r="K232" i="1"/>
  <c r="I232" i="1"/>
  <c r="O232" i="1" s="1"/>
  <c r="S301" i="1" s="1"/>
  <c r="L232" i="1"/>
  <c r="B162" i="1"/>
  <c r="B195" i="1"/>
  <c r="B180" i="1"/>
  <c r="B199" i="1"/>
  <c r="J247" i="1"/>
  <c r="C185" i="1"/>
  <c r="I247" i="1"/>
  <c r="K247" i="1"/>
  <c r="L247" i="1"/>
  <c r="C154" i="1"/>
  <c r="J241" i="1"/>
  <c r="P241" i="1" s="1"/>
  <c r="I241" i="1"/>
  <c r="O241" i="1" s="1"/>
  <c r="K241" i="1"/>
  <c r="L241" i="1"/>
  <c r="C187" i="1"/>
  <c r="C174" i="1"/>
  <c r="B155" i="1"/>
  <c r="B184" i="1"/>
  <c r="B158" i="1"/>
  <c r="B209" i="1"/>
  <c r="B213" i="1"/>
  <c r="B153" i="1"/>
  <c r="B205" i="1"/>
  <c r="B197" i="1"/>
  <c r="B171" i="1"/>
  <c r="B175" i="1"/>
  <c r="B190" i="1"/>
  <c r="B168" i="1"/>
  <c r="B193" i="1"/>
  <c r="B201" i="1"/>
  <c r="B166" i="1"/>
  <c r="J258" i="1"/>
  <c r="P258" i="1" s="1"/>
  <c r="T293" i="1" s="1"/>
  <c r="K258" i="1"/>
  <c r="L258" i="1"/>
  <c r="C215" i="1"/>
  <c r="I258" i="1"/>
  <c r="O258" i="1" s="1"/>
  <c r="S293" i="1" s="1"/>
  <c r="J242" i="1"/>
  <c r="P242" i="1" s="1"/>
  <c r="K242" i="1"/>
  <c r="I242" i="1"/>
  <c r="L242" i="1"/>
  <c r="C178" i="1"/>
  <c r="C188" i="1"/>
  <c r="J251" i="1"/>
  <c r="C157" i="1"/>
  <c r="C194" i="1"/>
  <c r="K251" i="1"/>
  <c r="L251" i="1"/>
  <c r="C163" i="1"/>
  <c r="I251" i="1"/>
  <c r="O251" i="1" s="1"/>
  <c r="J249" i="1"/>
  <c r="C161" i="1"/>
  <c r="K249" i="1"/>
  <c r="L249" i="1"/>
  <c r="I249" i="1"/>
  <c r="C206" i="1"/>
  <c r="J233" i="1"/>
  <c r="K233" i="1"/>
  <c r="C224" i="1"/>
  <c r="L233" i="1"/>
  <c r="I233" i="1"/>
  <c r="O233" i="1" s="1"/>
  <c r="S302" i="1" s="1"/>
  <c r="J231" i="1"/>
  <c r="P231" i="1" s="1"/>
  <c r="T300" i="1" s="1"/>
  <c r="K231" i="1"/>
  <c r="L231" i="1"/>
  <c r="I231" i="1"/>
  <c r="O231" i="1" s="1"/>
  <c r="S300" i="1" s="1"/>
  <c r="C222" i="1"/>
  <c r="J244" i="1"/>
  <c r="C171" i="1"/>
  <c r="C175" i="1"/>
  <c r="I244" i="1"/>
  <c r="O244" i="1" s="1"/>
  <c r="K244" i="1"/>
  <c r="L244" i="1"/>
  <c r="C197" i="1"/>
  <c r="J228" i="1"/>
  <c r="I228" i="1"/>
  <c r="K228" i="1"/>
  <c r="C219" i="1"/>
  <c r="L228" i="1"/>
  <c r="B186" i="1"/>
  <c r="B173" i="1"/>
  <c r="J234" i="1"/>
  <c r="K234" i="1"/>
  <c r="I234" i="1"/>
  <c r="L234" i="1"/>
  <c r="J259" i="1"/>
  <c r="I259" i="1"/>
  <c r="O259" i="1" s="1"/>
  <c r="S294" i="1" s="1"/>
  <c r="K259" i="1"/>
  <c r="L259" i="1"/>
  <c r="C216" i="1"/>
  <c r="B160" i="1"/>
  <c r="B203" i="1"/>
  <c r="B207" i="1"/>
  <c r="B212" i="1"/>
  <c r="B159" i="1"/>
  <c r="B157" i="1"/>
  <c r="B194" i="1"/>
  <c r="B163" i="1"/>
  <c r="B185" i="1"/>
  <c r="B154" i="1"/>
  <c r="B198" i="1"/>
  <c r="B177" i="1"/>
  <c r="B181" i="1"/>
  <c r="B179" i="1"/>
  <c r="B189" i="1"/>
  <c r="B165" i="1"/>
  <c r="B169" i="1"/>
  <c r="B191" i="1"/>
  <c r="B183" i="1"/>
  <c r="J255" i="1"/>
  <c r="C212" i="1"/>
  <c r="K255" i="1"/>
  <c r="I255" i="1"/>
  <c r="L255" i="1"/>
  <c r="C159" i="1"/>
  <c r="J254" i="1"/>
  <c r="K254" i="1"/>
  <c r="C151" i="1"/>
  <c r="L254" i="1"/>
  <c r="I254" i="1"/>
  <c r="C211" i="1"/>
  <c r="J238" i="1"/>
  <c r="C180" i="1"/>
  <c r="I238" i="1"/>
  <c r="K238" i="1"/>
  <c r="C199" i="1"/>
  <c r="L238" i="1"/>
  <c r="J239" i="1"/>
  <c r="C189" i="1"/>
  <c r="K239" i="1"/>
  <c r="I239" i="1"/>
  <c r="O239" i="1" s="1"/>
  <c r="L239" i="1"/>
  <c r="C179" i="1"/>
  <c r="J245" i="1"/>
  <c r="K245" i="1"/>
  <c r="C172" i="1"/>
  <c r="I245" i="1"/>
  <c r="L245" i="1"/>
  <c r="C196" i="1"/>
  <c r="J229" i="1"/>
  <c r="K229" i="1"/>
  <c r="L229" i="1"/>
  <c r="C220" i="1"/>
  <c r="I229" i="1"/>
  <c r="J256" i="1"/>
  <c r="C203" i="1"/>
  <c r="C207" i="1"/>
  <c r="I256" i="1"/>
  <c r="K256" i="1"/>
  <c r="L256" i="1"/>
  <c r="C160" i="1"/>
  <c r="J240" i="1"/>
  <c r="K240" i="1"/>
  <c r="C190" i="1"/>
  <c r="L240" i="1"/>
  <c r="C168" i="1"/>
  <c r="I240" i="1"/>
  <c r="K227" i="1"/>
  <c r="C155" i="1"/>
  <c r="L227" i="1"/>
  <c r="I227" i="1"/>
  <c r="O227" i="1" s="1"/>
  <c r="C149" i="1"/>
  <c r="J227" i="1"/>
  <c r="P227" i="1" s="1"/>
  <c r="C184" i="1"/>
  <c r="S235" i="1" l="1"/>
  <c r="S241" i="1"/>
  <c r="S272" i="1"/>
  <c r="P236" i="1"/>
  <c r="P245" i="1"/>
  <c r="P238" i="1"/>
  <c r="P255" i="1"/>
  <c r="P259" i="1"/>
  <c r="T294" i="1" s="1"/>
  <c r="P234" i="1"/>
  <c r="P233" i="1"/>
  <c r="T302" i="1" s="1"/>
  <c r="S265" i="1"/>
  <c r="S252" i="1"/>
  <c r="P232" i="1"/>
  <c r="T301" i="1" s="1"/>
  <c r="S228" i="1"/>
  <c r="S288" i="1"/>
  <c r="P246" i="1"/>
  <c r="P235" i="1"/>
  <c r="O236" i="1"/>
  <c r="O257" i="1"/>
  <c r="P257" i="1"/>
  <c r="T227" i="1"/>
  <c r="T233" i="1"/>
  <c r="T262" i="1"/>
  <c r="P228" i="1"/>
  <c r="T297" i="1" s="1"/>
  <c r="T256" i="1"/>
  <c r="T266" i="1"/>
  <c r="S231" i="1"/>
  <c r="S283" i="1"/>
  <c r="T245" i="1"/>
  <c r="T278" i="1"/>
  <c r="S251" i="1"/>
  <c r="S264" i="1"/>
  <c r="O235" i="1"/>
  <c r="S262" i="1"/>
  <c r="S227" i="1"/>
  <c r="S233" i="1"/>
  <c r="P256" i="1"/>
  <c r="O245" i="1"/>
  <c r="O255" i="1"/>
  <c r="P251" i="1"/>
  <c r="O242" i="1"/>
  <c r="T252" i="1"/>
  <c r="T265" i="1"/>
  <c r="O247" i="1"/>
  <c r="P243" i="1"/>
  <c r="T228" i="1"/>
  <c r="T288" i="1"/>
  <c r="S236" i="1"/>
  <c r="S287" i="1"/>
  <c r="S291" i="1"/>
  <c r="O250" i="1"/>
  <c r="S267" i="1"/>
  <c r="S257" i="1"/>
  <c r="S249" i="1"/>
  <c r="S275" i="1"/>
  <c r="S253" i="1"/>
  <c r="P247" i="1"/>
  <c r="S255" i="1"/>
  <c r="S259" i="1"/>
  <c r="S276" i="1"/>
  <c r="O240" i="1"/>
  <c r="P240" i="1"/>
  <c r="O256" i="1"/>
  <c r="O229" i="1"/>
  <c r="S298" i="1" s="1"/>
  <c r="P229" i="1"/>
  <c r="T298" i="1" s="1"/>
  <c r="P239" i="1"/>
  <c r="O238" i="1"/>
  <c r="O254" i="1"/>
  <c r="P254" i="1"/>
  <c r="O234" i="1"/>
  <c r="O228" i="1"/>
  <c r="S297" i="1" s="1"/>
  <c r="P244" i="1"/>
  <c r="O249" i="1"/>
  <c r="P249" i="1"/>
  <c r="P248" i="1"/>
  <c r="O237" i="1"/>
  <c r="P230" i="1"/>
  <c r="T295" i="1" s="1"/>
  <c r="P252" i="1"/>
  <c r="P250" i="1"/>
  <c r="T241" i="1" l="1"/>
  <c r="T272" i="1"/>
  <c r="T235" i="1"/>
  <c r="T271" i="1"/>
  <c r="T279" i="1"/>
  <c r="T244" i="1"/>
  <c r="T240" i="1"/>
  <c r="T273" i="1"/>
  <c r="T283" i="1"/>
  <c r="T231" i="1"/>
  <c r="S258" i="1"/>
  <c r="S277" i="1"/>
  <c r="S285" i="1"/>
  <c r="S281" i="1"/>
  <c r="S238" i="1"/>
  <c r="S240" i="1"/>
  <c r="S273" i="1"/>
  <c r="S290" i="1"/>
  <c r="S237" i="1"/>
  <c r="S282" i="1"/>
  <c r="S230" i="1"/>
  <c r="T237" i="1"/>
  <c r="T290" i="1"/>
  <c r="S232" i="1"/>
  <c r="S263" i="1"/>
  <c r="T230" i="1"/>
  <c r="T282" i="1"/>
  <c r="T251" i="1"/>
  <c r="T264" i="1"/>
  <c r="T284" i="1"/>
  <c r="T239" i="1"/>
  <c r="T246" i="1"/>
  <c r="T268" i="1"/>
  <c r="S250" i="1"/>
  <c r="S274" i="1"/>
  <c r="S271" i="1"/>
  <c r="S279" i="1"/>
  <c r="S244" i="1"/>
  <c r="T277" i="1"/>
  <c r="T258" i="1"/>
  <c r="S245" i="1"/>
  <c r="S278" i="1"/>
  <c r="T275" i="1"/>
  <c r="T249" i="1"/>
  <c r="T253" i="1"/>
  <c r="S289" i="1"/>
  <c r="S229" i="1"/>
  <c r="T287" i="1"/>
  <c r="T291" i="1"/>
  <c r="T236" i="1"/>
  <c r="T267" i="1"/>
  <c r="T257" i="1"/>
  <c r="S239" i="1"/>
  <c r="S284" i="1"/>
  <c r="T229" i="1"/>
  <c r="T289" i="1"/>
  <c r="S246" i="1"/>
  <c r="S268" i="1"/>
  <c r="T232" i="1"/>
  <c r="T263" i="1"/>
  <c r="T255" i="1"/>
  <c r="T259" i="1"/>
  <c r="T276" i="1"/>
  <c r="S266" i="1"/>
  <c r="S256" i="1"/>
  <c r="T238" i="1"/>
  <c r="T281" i="1"/>
  <c r="T285" i="1"/>
  <c r="S261" i="1"/>
  <c r="S243" i="1"/>
  <c r="S247" i="1"/>
  <c r="S269" i="1"/>
  <c r="T243" i="1"/>
  <c r="T247" i="1"/>
  <c r="T261" i="1"/>
  <c r="T269" i="1"/>
  <c r="T274" i="1"/>
  <c r="T250" i="1"/>
</calcChain>
</file>

<file path=xl/sharedStrings.xml><?xml version="1.0" encoding="utf-8"?>
<sst xmlns="http://schemas.openxmlformats.org/spreadsheetml/2006/main" count="584" uniqueCount="76">
  <si>
    <t>x</t>
  </si>
  <si>
    <t>y</t>
  </si>
  <si>
    <t>z</t>
  </si>
  <si>
    <t>a</t>
  </si>
  <si>
    <t>h</t>
  </si>
  <si>
    <t>e</t>
  </si>
  <si>
    <t>b</t>
  </si>
  <si>
    <t>c</t>
  </si>
  <si>
    <t>d</t>
  </si>
  <si>
    <t>f</t>
  </si>
  <si>
    <t>g</t>
  </si>
  <si>
    <t>I</t>
  </si>
  <si>
    <t>j</t>
  </si>
  <si>
    <t>k</t>
  </si>
  <si>
    <t>l</t>
  </si>
  <si>
    <t>m</t>
  </si>
  <si>
    <t>r</t>
  </si>
  <si>
    <t>q</t>
  </si>
  <si>
    <r>
      <t>VRP in cylindrical (r,</t>
    </r>
    <r>
      <rPr>
        <sz val="10"/>
        <rFont val="Symbol"/>
        <family val="1"/>
        <charset val="2"/>
      </rPr>
      <t>q,</t>
    </r>
    <r>
      <rPr>
        <sz val="10"/>
        <rFont val="Arial"/>
        <family val="2"/>
      </rPr>
      <t>z) coordinates:</t>
    </r>
  </si>
  <si>
    <t>VRP in rectangular (x,y,z) coordinates</t>
  </si>
  <si>
    <t>Location of the VRP</t>
  </si>
  <si>
    <t>n</t>
  </si>
  <si>
    <t>o</t>
  </si>
  <si>
    <t>p</t>
  </si>
  <si>
    <t>s</t>
  </si>
  <si>
    <t>t</t>
  </si>
  <si>
    <t>u</t>
  </si>
  <si>
    <t>v</t>
  </si>
  <si>
    <t>w</t>
  </si>
  <si>
    <t>i</t>
  </si>
  <si>
    <t>aa</t>
  </si>
  <si>
    <t>ab</t>
  </si>
  <si>
    <t>ac</t>
  </si>
  <si>
    <t>Coordinates to Generate Aerial View</t>
  </si>
  <si>
    <t>ad</t>
  </si>
  <si>
    <t>Test Shape specified in (x, y, z) coordinates</t>
  </si>
  <si>
    <t>Fill Your Name In Here (Cell A1)!</t>
  </si>
  <si>
    <t>ae</t>
  </si>
  <si>
    <t>af</t>
  </si>
  <si>
    <t>ag</t>
  </si>
  <si>
    <t>Template for Comp 4560 Laboratory Assignment 6 (201330)</t>
  </si>
  <si>
    <t>Asgn6201330Studenttemplate (version 1).xlsb</t>
  </si>
  <si>
    <t>Asgn6201430Studenttemplate.xlsm</t>
  </si>
  <si>
    <t>Asgn6201530Studenttemplate.xlsm</t>
  </si>
  <si>
    <t>Assignment 6 Jens Christiansen Set 4D</t>
  </si>
  <si>
    <t>Christiansen.Jens.SET4D.xlsm</t>
  </si>
  <si>
    <t>Step 2</t>
  </si>
  <si>
    <t>Step 3:</t>
  </si>
  <si>
    <t>VRP</t>
  </si>
  <si>
    <t>Vector n</t>
  </si>
  <si>
    <t>Unit Vector n:</t>
  </si>
  <si>
    <t>Step 4:</t>
  </si>
  <si>
    <t>up vector:</t>
  </si>
  <si>
    <t>vector vp:</t>
  </si>
  <si>
    <t>Step 5:</t>
  </si>
  <si>
    <t>u:</t>
  </si>
  <si>
    <t>unit vector v:</t>
  </si>
  <si>
    <t>n:</t>
  </si>
  <si>
    <t>Step 6:</t>
  </si>
  <si>
    <t>v:</t>
  </si>
  <si>
    <t>M:</t>
  </si>
  <si>
    <t>Avw:</t>
  </si>
  <si>
    <t>M-1:</t>
  </si>
  <si>
    <t>T-r:</t>
  </si>
  <si>
    <t>M*M-1:</t>
  </si>
  <si>
    <t>Step 7:</t>
  </si>
  <si>
    <t>=</t>
  </si>
  <si>
    <t>Step 8:</t>
  </si>
  <si>
    <t>Step 9:</t>
  </si>
  <si>
    <t xml:space="preserve">Xuvn </t>
  </si>
  <si>
    <t>*</t>
  </si>
  <si>
    <t>u*</t>
  </si>
  <si>
    <t>v*</t>
  </si>
  <si>
    <t>u*h</t>
  </si>
  <si>
    <t>v*h</t>
  </si>
  <si>
    <t>n*h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</si>
</sst>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2"/>
      <color indexed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4"/>
      <color indexed="10"/>
      <name val="Arial"/>
      <family val="2"/>
    </font>
    <font>
      <sz val="10"/>
      <name val="Arial"/>
      <family val="2"/>
    </font>
    <font>
      <sz val="10"/>
      <color indexed="9"/>
      <name val="Arial"/>
    </font>
    <font>
      <sz val="10"/>
      <color indexed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1" xfId="0" applyFont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/>
    <xf numFmtId="0" fontId="4" fillId="0" borderId="1" xfId="0" applyFont="1" applyBorder="1"/>
    <xf numFmtId="0" fontId="4" fillId="0" borderId="10" xfId="0" applyFont="1" applyBorder="1" applyAlignment="1">
      <alignment horizontal="right"/>
    </xf>
    <xf numFmtId="0" fontId="6" fillId="0" borderId="5" xfId="0" applyFont="1" applyBorder="1"/>
    <xf numFmtId="0" fontId="0" fillId="0" borderId="10" xfId="0" applyBorder="1"/>
    <xf numFmtId="0" fontId="0" fillId="0" borderId="2" xfId="0" applyFill="1" applyBorder="1" applyAlignment="1">
      <alignment horizontal="center"/>
    </xf>
    <xf numFmtId="0" fontId="7" fillId="0" borderId="9" xfId="0" applyFont="1" applyFill="1" applyBorder="1" applyAlignment="1">
      <alignment horizontal="right"/>
    </xf>
    <xf numFmtId="0" fontId="7" fillId="0" borderId="5" xfId="0" applyFont="1" applyFill="1" applyBorder="1" applyAlignment="1">
      <alignment horizontal="right"/>
    </xf>
    <xf numFmtId="0" fontId="7" fillId="0" borderId="6" xfId="0" applyFont="1" applyFill="1" applyBorder="1" applyAlignment="1">
      <alignment horizontal="center"/>
    </xf>
    <xf numFmtId="0" fontId="1" fillId="2" borderId="0" xfId="0" applyFont="1" applyFill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0" xfId="0" applyFont="1"/>
    <xf numFmtId="0" fontId="10" fillId="0" borderId="2" xfId="0" applyFont="1" applyFill="1" applyBorder="1" applyAlignment="1">
      <alignment horizontal="center"/>
    </xf>
    <xf numFmtId="0" fontId="4" fillId="0" borderId="0" xfId="0" applyFont="1"/>
    <xf numFmtId="0" fontId="0" fillId="0" borderId="0" xfId="0" applyFill="1" applyBorder="1" applyAlignment="1">
      <alignment horizontal="center"/>
    </xf>
    <xf numFmtId="0" fontId="0" fillId="0" borderId="14" xfId="0" applyFill="1" applyBorder="1"/>
    <xf numFmtId="0" fontId="0" fillId="0" borderId="16" xfId="0" applyFill="1" applyBorder="1"/>
    <xf numFmtId="0" fontId="0" fillId="0" borderId="17" xfId="0" applyBorder="1"/>
    <xf numFmtId="0" fontId="0" fillId="0" borderId="18" xfId="0" applyBorder="1"/>
    <xf numFmtId="22" fontId="11" fillId="0" borderId="0" xfId="0" applyNumberFormat="1" applyFont="1"/>
    <xf numFmtId="0" fontId="11" fillId="0" borderId="0" xfId="0" applyFont="1"/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22" fontId="12" fillId="0" borderId="0" xfId="0" applyNumberFormat="1" applyFont="1"/>
    <xf numFmtId="0" fontId="12" fillId="0" borderId="0" xfId="0" applyFont="1"/>
    <xf numFmtId="0" fontId="1" fillId="0" borderId="0" xfId="0" applyFont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Border="1"/>
    <xf numFmtId="0" fontId="0" fillId="0" borderId="1" xfId="0" applyFill="1" applyBorder="1"/>
    <xf numFmtId="0" fontId="0" fillId="0" borderId="10" xfId="0" applyFill="1" applyBorder="1"/>
    <xf numFmtId="0" fontId="1" fillId="0" borderId="6" xfId="0" applyFont="1" applyFill="1" applyBorder="1" applyAlignment="1">
      <alignment horizontal="center"/>
    </xf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042784"/>
        <c:axId val="692047680"/>
      </c:scatterChart>
      <c:valAx>
        <c:axId val="692042784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047680"/>
        <c:crosses val="autoZero"/>
        <c:crossBetween val="midCat"/>
      </c:valAx>
      <c:valAx>
        <c:axId val="692047680"/>
        <c:scaling>
          <c:orientation val="minMax"/>
          <c:max val="2"/>
          <c:min val="-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0427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053120"/>
        <c:axId val="692047136"/>
      </c:scatterChart>
      <c:valAx>
        <c:axId val="692053120"/>
        <c:scaling>
          <c:orientation val="minMax"/>
          <c:max val="80"/>
          <c:min val="-8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047136"/>
        <c:crosses val="autoZero"/>
        <c:crossBetween val="midCat"/>
        <c:majorUnit val="40"/>
      </c:valAx>
      <c:valAx>
        <c:axId val="692047136"/>
        <c:scaling>
          <c:orientation val="minMax"/>
          <c:max val="40"/>
          <c:min val="-2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053120"/>
        <c:crosses val="autoZero"/>
        <c:crossBetween val="midCat"/>
        <c:majorUnit val="2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Aerial View of the Scene</a:t>
            </a:r>
          </a:p>
        </c:rich>
      </c:tx>
      <c:layout>
        <c:manualLayout>
          <c:xMode val="edge"/>
          <c:yMode val="edge"/>
          <c:x val="0.25454609082955537"/>
          <c:y val="3.6184210526315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909152785134899"/>
          <c:y val="0.30263206503145734"/>
          <c:w val="0.71818394348941605"/>
          <c:h val="0.6315799618047804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Main!$T$5:$T$80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324</c:v>
                </c:pt>
                <c:pt idx="3">
                  <c:v>324</c:v>
                </c:pt>
                <c:pt idx="4">
                  <c:v>810</c:v>
                </c:pt>
                <c:pt idx="5">
                  <c:v>810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324</c:v>
                </c:pt>
                <c:pt idx="11">
                  <c:v>324</c:v>
                </c:pt>
                <c:pt idx="12">
                  <c:v>810</c:v>
                </c:pt>
                <c:pt idx="13">
                  <c:v>810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243</c:v>
                </c:pt>
                <c:pt idx="19">
                  <c:v>243</c:v>
                </c:pt>
                <c:pt idx="20">
                  <c:v>0</c:v>
                </c:pt>
                <c:pt idx="22">
                  <c:v>567</c:v>
                </c:pt>
                <c:pt idx="23">
                  <c:v>810</c:v>
                </c:pt>
                <c:pt idx="24">
                  <c:v>810</c:v>
                </c:pt>
                <c:pt idx="25">
                  <c:v>567</c:v>
                </c:pt>
                <c:pt idx="26">
                  <c:v>567</c:v>
                </c:pt>
                <c:pt idx="28">
                  <c:v>567</c:v>
                </c:pt>
                <c:pt idx="29">
                  <c:v>567</c:v>
                </c:pt>
                <c:pt idx="30">
                  <c:v>243</c:v>
                </c:pt>
                <c:pt idx="31">
                  <c:v>243</c:v>
                </c:pt>
                <c:pt idx="32">
                  <c:v>567</c:v>
                </c:pt>
                <c:pt idx="34">
                  <c:v>0</c:v>
                </c:pt>
                <c:pt idx="35">
                  <c:v>0</c:v>
                </c:pt>
                <c:pt idx="36">
                  <c:v>810</c:v>
                </c:pt>
                <c:pt idx="37">
                  <c:v>810</c:v>
                </c:pt>
                <c:pt idx="38">
                  <c:v>567</c:v>
                </c:pt>
                <c:pt idx="39">
                  <c:v>567</c:v>
                </c:pt>
                <c:pt idx="40">
                  <c:v>243</c:v>
                </c:pt>
                <c:pt idx="41">
                  <c:v>243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810</c:v>
                </c:pt>
                <c:pt idx="47">
                  <c:v>810</c:v>
                </c:pt>
                <c:pt idx="48">
                  <c:v>567</c:v>
                </c:pt>
                <c:pt idx="49">
                  <c:v>567</c:v>
                </c:pt>
                <c:pt idx="50">
                  <c:v>243</c:v>
                </c:pt>
                <c:pt idx="51">
                  <c:v>243</c:v>
                </c:pt>
                <c:pt idx="52">
                  <c:v>0</c:v>
                </c:pt>
                <c:pt idx="54">
                  <c:v>324</c:v>
                </c:pt>
                <c:pt idx="55">
                  <c:v>324</c:v>
                </c:pt>
                <c:pt idx="56">
                  <c:v>810</c:v>
                </c:pt>
                <c:pt idx="57">
                  <c:v>810</c:v>
                </c:pt>
                <c:pt idx="58">
                  <c:v>324</c:v>
                </c:pt>
                <c:pt idx="60">
                  <c:v>0</c:v>
                </c:pt>
                <c:pt idx="61">
                  <c:v>0</c:v>
                </c:pt>
                <c:pt idx="62">
                  <c:v>324</c:v>
                </c:pt>
                <c:pt idx="63">
                  <c:v>324</c:v>
                </c:pt>
                <c:pt idx="64">
                  <c:v>0</c:v>
                </c:pt>
                <c:pt idx="66">
                  <c:v>121.5</c:v>
                </c:pt>
                <c:pt idx="67">
                  <c:v>121.5</c:v>
                </c:pt>
                <c:pt idx="68">
                  <c:v>405</c:v>
                </c:pt>
                <c:pt idx="70">
                  <c:v>243</c:v>
                </c:pt>
                <c:pt idx="71">
                  <c:v>243</c:v>
                </c:pt>
                <c:pt idx="73">
                  <c:v>283.5</c:v>
                </c:pt>
                <c:pt idx="74">
                  <c:v>405</c:v>
                </c:pt>
                <c:pt idx="75">
                  <c:v>526.5</c:v>
                </c:pt>
              </c:numCache>
            </c:numRef>
          </c:xVal>
          <c:yVal>
            <c:numRef>
              <c:f>Main!$U$5:$U$80</c:f>
              <c:numCache>
                <c:formatCode>General</c:formatCode>
                <c:ptCount val="76"/>
                <c:pt idx="0">
                  <c:v>0</c:v>
                </c:pt>
                <c:pt idx="1">
                  <c:v>440</c:v>
                </c:pt>
                <c:pt idx="2">
                  <c:v>440</c:v>
                </c:pt>
                <c:pt idx="3">
                  <c:v>308</c:v>
                </c:pt>
                <c:pt idx="4">
                  <c:v>308</c:v>
                </c:pt>
                <c:pt idx="5">
                  <c:v>0</c:v>
                </c:pt>
                <c:pt idx="6">
                  <c:v>0</c:v>
                </c:pt>
                <c:pt idx="8">
                  <c:v>88</c:v>
                </c:pt>
                <c:pt idx="9">
                  <c:v>440</c:v>
                </c:pt>
                <c:pt idx="10">
                  <c:v>440</c:v>
                </c:pt>
                <c:pt idx="11">
                  <c:v>308</c:v>
                </c:pt>
                <c:pt idx="12">
                  <c:v>308</c:v>
                </c:pt>
                <c:pt idx="13">
                  <c:v>88</c:v>
                </c:pt>
                <c:pt idx="14">
                  <c:v>88</c:v>
                </c:pt>
                <c:pt idx="16">
                  <c:v>0</c:v>
                </c:pt>
                <c:pt idx="17">
                  <c:v>88</c:v>
                </c:pt>
                <c:pt idx="18">
                  <c:v>88</c:v>
                </c:pt>
                <c:pt idx="19">
                  <c:v>0</c:v>
                </c:pt>
                <c:pt idx="20">
                  <c:v>0</c:v>
                </c:pt>
                <c:pt idx="22">
                  <c:v>88</c:v>
                </c:pt>
                <c:pt idx="23">
                  <c:v>88</c:v>
                </c:pt>
                <c:pt idx="24">
                  <c:v>0</c:v>
                </c:pt>
                <c:pt idx="25">
                  <c:v>0</c:v>
                </c:pt>
                <c:pt idx="26">
                  <c:v>88</c:v>
                </c:pt>
                <c:pt idx="28">
                  <c:v>88</c:v>
                </c:pt>
                <c:pt idx="29">
                  <c:v>0</c:v>
                </c:pt>
                <c:pt idx="30">
                  <c:v>0</c:v>
                </c:pt>
                <c:pt idx="31">
                  <c:v>88</c:v>
                </c:pt>
                <c:pt idx="32">
                  <c:v>88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4">
                  <c:v>308</c:v>
                </c:pt>
                <c:pt idx="55">
                  <c:v>308</c:v>
                </c:pt>
                <c:pt idx="56">
                  <c:v>308</c:v>
                </c:pt>
                <c:pt idx="57">
                  <c:v>308</c:v>
                </c:pt>
                <c:pt idx="58">
                  <c:v>308</c:v>
                </c:pt>
                <c:pt idx="60">
                  <c:v>440</c:v>
                </c:pt>
                <c:pt idx="61">
                  <c:v>440</c:v>
                </c:pt>
                <c:pt idx="62">
                  <c:v>440</c:v>
                </c:pt>
                <c:pt idx="63">
                  <c:v>440</c:v>
                </c:pt>
                <c:pt idx="64">
                  <c:v>440</c:v>
                </c:pt>
                <c:pt idx="66">
                  <c:v>110</c:v>
                </c:pt>
                <c:pt idx="67">
                  <c:v>264</c:v>
                </c:pt>
                <c:pt idx="68">
                  <c:v>264</c:v>
                </c:pt>
                <c:pt idx="70">
                  <c:v>154</c:v>
                </c:pt>
                <c:pt idx="71">
                  <c:v>418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</c:numCache>
            </c:numRef>
          </c:y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Main!$E$12</c:f>
              <c:numCache>
                <c:formatCode>General</c:formatCode>
                <c:ptCount val="1"/>
                <c:pt idx="0">
                  <c:v>2044.7744930831884</c:v>
                </c:pt>
              </c:numCache>
            </c:numRef>
          </c:xVal>
          <c:yVal>
            <c:numRef>
              <c:f>Main!$D$12</c:f>
              <c:numCache>
                <c:formatCode>General</c:formatCode>
                <c:ptCount val="1"/>
                <c:pt idx="0">
                  <c:v>1312.9346032595797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052576"/>
        <c:axId val="692053664"/>
      </c:scatterChart>
      <c:valAx>
        <c:axId val="692052576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y</a:t>
                </a:r>
              </a:p>
            </c:rich>
          </c:tx>
          <c:layout>
            <c:manualLayout>
              <c:xMode val="edge"/>
              <c:yMode val="edge"/>
              <c:x val="0.80606283305495907"/>
              <c:y val="0.21052666114104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053664"/>
        <c:crosses val="autoZero"/>
        <c:crossBetween val="midCat"/>
        <c:majorUnit val="200"/>
      </c:valAx>
      <c:valAx>
        <c:axId val="692053664"/>
        <c:scaling>
          <c:orientation val="maxMin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x</a:t>
                </a:r>
              </a:p>
            </c:rich>
          </c:tx>
          <c:layout>
            <c:manualLayout>
              <c:xMode val="edge"/>
              <c:yMode val="edge"/>
              <c:x val="6.9697287839020156E-2"/>
              <c:y val="0.700658930791545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052576"/>
        <c:crosses val="autoZero"/>
        <c:crossBetween val="midCat"/>
        <c:majorUnit val="20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532176"/>
        <c:axId val="887535984"/>
      </c:scatterChart>
      <c:valAx>
        <c:axId val="887532176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7535984"/>
        <c:crosses val="autoZero"/>
        <c:crossBetween val="midCat"/>
      </c:valAx>
      <c:valAx>
        <c:axId val="887535984"/>
        <c:scaling>
          <c:orientation val="minMax"/>
          <c:max val="2"/>
          <c:min val="-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75321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Main!$C$149:$C$224</c:f>
              <c:numCache>
                <c:formatCode>General</c:formatCode>
                <c:ptCount val="76"/>
                <c:pt idx="0">
                  <c:v>-171.87858658642244</c:v>
                </c:pt>
                <c:pt idx="1">
                  <c:v>-524.38316944435905</c:v>
                </c:pt>
                <c:pt idx="2">
                  <c:v>-330.47956691795127</c:v>
                </c:pt>
                <c:pt idx="3">
                  <c:v>-224.72819206057028</c:v>
                </c:pt>
                <c:pt idx="4">
                  <c:v>66.127211729041505</c:v>
                </c:pt>
                <c:pt idx="5">
                  <c:v>312.88041972959718</c:v>
                </c:pt>
                <c:pt idx="6">
                  <c:v>-171.87858658642244</c:v>
                </c:pt>
                <c:pt idx="8">
                  <c:v>-242.37950315800978</c:v>
                </c:pt>
                <c:pt idx="9">
                  <c:v>-524.38316944435905</c:v>
                </c:pt>
                <c:pt idx="10">
                  <c:v>-330.47956691795127</c:v>
                </c:pt>
                <c:pt idx="11">
                  <c:v>-224.72819206057028</c:v>
                </c:pt>
                <c:pt idx="12">
                  <c:v>66.127211729041505</c:v>
                </c:pt>
                <c:pt idx="13">
                  <c:v>242.37950315800981</c:v>
                </c:pt>
                <c:pt idx="14">
                  <c:v>-242.37950315800978</c:v>
                </c:pt>
                <c:pt idx="16">
                  <c:v>-171.87858658642244</c:v>
                </c:pt>
                <c:pt idx="17">
                  <c:v>-242.37950315800978</c:v>
                </c:pt>
                <c:pt idx="18">
                  <c:v>-96.95180126320389</c:v>
                </c:pt>
                <c:pt idx="19">
                  <c:v>-26.450884691616551</c:v>
                </c:pt>
                <c:pt idx="20">
                  <c:v>-171.87858658642244</c:v>
                </c:pt>
                <c:pt idx="22">
                  <c:v>96.951801263203947</c:v>
                </c:pt>
                <c:pt idx="23">
                  <c:v>242.37950315800981</c:v>
                </c:pt>
                <c:pt idx="24">
                  <c:v>312.88041972959718</c:v>
                </c:pt>
                <c:pt idx="25">
                  <c:v>167.45271783479131</c:v>
                </c:pt>
                <c:pt idx="26">
                  <c:v>96.951801263203947</c:v>
                </c:pt>
                <c:pt idx="28">
                  <c:v>96.951801263203947</c:v>
                </c:pt>
                <c:pt idx="29">
                  <c:v>167.45271783479131</c:v>
                </c:pt>
                <c:pt idx="30">
                  <c:v>-26.450884691616551</c:v>
                </c:pt>
                <c:pt idx="31">
                  <c:v>-96.95180126320389</c:v>
                </c:pt>
                <c:pt idx="32">
                  <c:v>96.951801263203947</c:v>
                </c:pt>
                <c:pt idx="34">
                  <c:v>-171.87858658642244</c:v>
                </c:pt>
                <c:pt idx="35">
                  <c:v>-171.87858658642244</c:v>
                </c:pt>
                <c:pt idx="36">
                  <c:v>312.88041972959718</c:v>
                </c:pt>
                <c:pt idx="37">
                  <c:v>312.88041972959718</c:v>
                </c:pt>
                <c:pt idx="38">
                  <c:v>167.45271783479131</c:v>
                </c:pt>
                <c:pt idx="39">
                  <c:v>167.45271783479131</c:v>
                </c:pt>
                <c:pt idx="40">
                  <c:v>-26.450884691616551</c:v>
                </c:pt>
                <c:pt idx="41">
                  <c:v>-26.450884691616551</c:v>
                </c:pt>
                <c:pt idx="42">
                  <c:v>-171.87858658642244</c:v>
                </c:pt>
                <c:pt idx="44">
                  <c:v>-242.37950315800978</c:v>
                </c:pt>
                <c:pt idx="45">
                  <c:v>-242.37950315800978</c:v>
                </c:pt>
                <c:pt idx="46">
                  <c:v>242.37950315800981</c:v>
                </c:pt>
                <c:pt idx="47">
                  <c:v>242.37950315800981</c:v>
                </c:pt>
                <c:pt idx="48">
                  <c:v>96.951801263203947</c:v>
                </c:pt>
                <c:pt idx="49">
                  <c:v>96.951801263203947</c:v>
                </c:pt>
                <c:pt idx="50">
                  <c:v>-96.95180126320389</c:v>
                </c:pt>
                <c:pt idx="51">
                  <c:v>-96.95180126320389</c:v>
                </c:pt>
                <c:pt idx="52">
                  <c:v>-242.37950315800978</c:v>
                </c:pt>
                <c:pt idx="54">
                  <c:v>-224.72819206057028</c:v>
                </c:pt>
                <c:pt idx="55">
                  <c:v>-224.72819206057028</c:v>
                </c:pt>
                <c:pt idx="56">
                  <c:v>66.127211729041505</c:v>
                </c:pt>
                <c:pt idx="57">
                  <c:v>66.127211729041505</c:v>
                </c:pt>
                <c:pt idx="58">
                  <c:v>-224.72819206057028</c:v>
                </c:pt>
                <c:pt idx="60">
                  <c:v>-524.38316944435905</c:v>
                </c:pt>
                <c:pt idx="61">
                  <c:v>-524.38316944435905</c:v>
                </c:pt>
                <c:pt idx="62">
                  <c:v>-330.47956691795127</c:v>
                </c:pt>
                <c:pt idx="63">
                  <c:v>-330.47956691795127</c:v>
                </c:pt>
                <c:pt idx="64">
                  <c:v>-524.38316944435905</c:v>
                </c:pt>
                <c:pt idx="66">
                  <c:v>-187.29088135350366</c:v>
                </c:pt>
                <c:pt idx="67">
                  <c:v>-310.6674853537815</c:v>
                </c:pt>
                <c:pt idx="68">
                  <c:v>-141.00183314317465</c:v>
                </c:pt>
                <c:pt idx="70">
                  <c:v>-149.82748869189439</c:v>
                </c:pt>
                <c:pt idx="71">
                  <c:v>-361.33023840665635</c:v>
                </c:pt>
                <c:pt idx="73">
                  <c:v>-72.713850947402904</c:v>
                </c:pt>
                <c:pt idx="74">
                  <c:v>2.8421709430404007E-14</c:v>
                </c:pt>
                <c:pt idx="75">
                  <c:v>72.71385094740296</c:v>
                </c:pt>
              </c:numCache>
            </c:numRef>
          </c:xVal>
          <c:yVal>
            <c:numRef>
              <c:f>Main!$B$149:$B$224</c:f>
              <c:numCache>
                <c:formatCode>General</c:formatCode>
                <c:ptCount val="76"/>
                <c:pt idx="0">
                  <c:v>-515.82578571976001</c:v>
                </c:pt>
                <c:pt idx="1">
                  <c:v>-761.34946877758364</c:v>
                </c:pt>
                <c:pt idx="2">
                  <c:v>-1003.3726400942961</c:v>
                </c:pt>
                <c:pt idx="3">
                  <c:v>-929.71553517694906</c:v>
                </c:pt>
                <c:pt idx="4">
                  <c:v>-1292.7502921520177</c:v>
                </c:pt>
                <c:pt idx="5">
                  <c:v>-1120.8837140115411</c:v>
                </c:pt>
                <c:pt idx="6">
                  <c:v>-515.82578571976001</c:v>
                </c:pt>
                <c:pt idx="8">
                  <c:v>-217.9467277404375</c:v>
                </c:pt>
                <c:pt idx="9">
                  <c:v>-414.36567418669642</c:v>
                </c:pt>
                <c:pt idx="10">
                  <c:v>-656.3888455034089</c:v>
                </c:pt>
                <c:pt idx="11">
                  <c:v>-582.73174058606185</c:v>
                </c:pt>
                <c:pt idx="12">
                  <c:v>-945.76649756113056</c:v>
                </c:pt>
                <c:pt idx="13">
                  <c:v>-823.00465603221869</c:v>
                </c:pt>
                <c:pt idx="14">
                  <c:v>-217.9467277404375</c:v>
                </c:pt>
                <c:pt idx="16">
                  <c:v>525.12559805290175</c:v>
                </c:pt>
                <c:pt idx="17">
                  <c:v>476.02086144133705</c:v>
                </c:pt>
                <c:pt idx="18">
                  <c:v>294.50348295380263</c:v>
                </c:pt>
                <c:pt idx="19">
                  <c:v>343.60821956536734</c:v>
                </c:pt>
                <c:pt idx="20">
                  <c:v>525.12559805290175</c:v>
                </c:pt>
                <c:pt idx="22">
                  <c:v>52.480311637090153</c:v>
                </c:pt>
                <c:pt idx="23">
                  <c:v>-129.03706685044415</c:v>
                </c:pt>
                <c:pt idx="24">
                  <c:v>-79.932330238879445</c:v>
                </c:pt>
                <c:pt idx="25">
                  <c:v>101.58504824865486</c:v>
                </c:pt>
                <c:pt idx="26">
                  <c:v>52.480311637090153</c:v>
                </c:pt>
                <c:pt idx="28">
                  <c:v>746.44790081886458</c:v>
                </c:pt>
                <c:pt idx="29">
                  <c:v>795.55263743042929</c:v>
                </c:pt>
                <c:pt idx="30">
                  <c:v>1037.5758087471418</c:v>
                </c:pt>
                <c:pt idx="31">
                  <c:v>988.47107213557706</c:v>
                </c:pt>
                <c:pt idx="32">
                  <c:v>746.44790081886458</c:v>
                </c:pt>
                <c:pt idx="34">
                  <c:v>525.12559805290175</c:v>
                </c:pt>
                <c:pt idx="35">
                  <c:v>-515.82578571976001</c:v>
                </c:pt>
                <c:pt idx="36">
                  <c:v>-1120.8837140115411</c:v>
                </c:pt>
                <c:pt idx="37">
                  <c:v>-79.932330238879445</c:v>
                </c:pt>
                <c:pt idx="38">
                  <c:v>101.58504824865486</c:v>
                </c:pt>
                <c:pt idx="39">
                  <c:v>795.55263743042929</c:v>
                </c:pt>
                <c:pt idx="40">
                  <c:v>1037.5758087471418</c:v>
                </c:pt>
                <c:pt idx="41">
                  <c:v>343.60821956536734</c:v>
                </c:pt>
                <c:pt idx="42">
                  <c:v>525.12559805290175</c:v>
                </c:pt>
                <c:pt idx="44">
                  <c:v>476.02086144133705</c:v>
                </c:pt>
                <c:pt idx="45">
                  <c:v>-217.9467277404375</c:v>
                </c:pt>
                <c:pt idx="46">
                  <c:v>-823.00465603221869</c:v>
                </c:pt>
                <c:pt idx="47">
                  <c:v>-129.03706685044415</c:v>
                </c:pt>
                <c:pt idx="48">
                  <c:v>52.480311637090153</c:v>
                </c:pt>
                <c:pt idx="49">
                  <c:v>746.44790081886458</c:v>
                </c:pt>
                <c:pt idx="50">
                  <c:v>988.47107213557706</c:v>
                </c:pt>
                <c:pt idx="51">
                  <c:v>294.50348295380263</c:v>
                </c:pt>
                <c:pt idx="52">
                  <c:v>476.02086144133705</c:v>
                </c:pt>
                <c:pt idx="54">
                  <c:v>-582.73174058606185</c:v>
                </c:pt>
                <c:pt idx="55">
                  <c:v>-929.71553517694906</c:v>
                </c:pt>
                <c:pt idx="56">
                  <c:v>-1292.7502921520177</c:v>
                </c:pt>
                <c:pt idx="57">
                  <c:v>-945.76649756113056</c:v>
                </c:pt>
                <c:pt idx="58">
                  <c:v>-582.73174058606185</c:v>
                </c:pt>
                <c:pt idx="60">
                  <c:v>-414.36567418669642</c:v>
                </c:pt>
                <c:pt idx="61">
                  <c:v>-761.34946877758364</c:v>
                </c:pt>
                <c:pt idx="62">
                  <c:v>-1003.3726400942961</c:v>
                </c:pt>
                <c:pt idx="63">
                  <c:v>-656.3888455034089</c:v>
                </c:pt>
                <c:pt idx="64">
                  <c:v>-414.36567418669642</c:v>
                </c:pt>
                <c:pt idx="66">
                  <c:v>-320.98160113709588</c:v>
                </c:pt>
                <c:pt idx="67">
                  <c:v>-406.91489020733417</c:v>
                </c:pt>
                <c:pt idx="68">
                  <c:v>-618.68516510945756</c:v>
                </c:pt>
                <c:pt idx="70">
                  <c:v>-436.29265868664544</c:v>
                </c:pt>
                <c:pt idx="71">
                  <c:v>-583.60686852133961</c:v>
                </c:pt>
                <c:pt idx="73">
                  <c:v>784.72627842554448</c:v>
                </c:pt>
                <c:pt idx="74">
                  <c:v>2.7284841053187847E-12</c:v>
                </c:pt>
                <c:pt idx="75">
                  <c:v>82.733208051679185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9857152"/>
        <c:axId val="929856608"/>
      </c:scatterChart>
      <c:valAx>
        <c:axId val="929857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856608"/>
        <c:crosses val="autoZero"/>
        <c:crossBetween val="midCat"/>
      </c:valAx>
      <c:valAx>
        <c:axId val="92985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857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Main!$C$149:$C$224</c:f>
              <c:numCache>
                <c:formatCode>General</c:formatCode>
                <c:ptCount val="76"/>
                <c:pt idx="0">
                  <c:v>-171.87858658642244</c:v>
                </c:pt>
                <c:pt idx="1">
                  <c:v>-524.38316944435905</c:v>
                </c:pt>
                <c:pt idx="2">
                  <c:v>-330.47956691795127</c:v>
                </c:pt>
                <c:pt idx="3">
                  <c:v>-224.72819206057028</c:v>
                </c:pt>
                <c:pt idx="4">
                  <c:v>66.127211729041505</c:v>
                </c:pt>
                <c:pt idx="5">
                  <c:v>312.88041972959718</c:v>
                </c:pt>
                <c:pt idx="6">
                  <c:v>-171.87858658642244</c:v>
                </c:pt>
                <c:pt idx="8">
                  <c:v>-242.37950315800978</c:v>
                </c:pt>
                <c:pt idx="9">
                  <c:v>-524.38316944435905</c:v>
                </c:pt>
                <c:pt idx="10">
                  <c:v>-330.47956691795127</c:v>
                </c:pt>
                <c:pt idx="11">
                  <c:v>-224.72819206057028</c:v>
                </c:pt>
                <c:pt idx="12">
                  <c:v>66.127211729041505</c:v>
                </c:pt>
                <c:pt idx="13">
                  <c:v>242.37950315800981</c:v>
                </c:pt>
                <c:pt idx="14">
                  <c:v>-242.37950315800978</c:v>
                </c:pt>
                <c:pt idx="16">
                  <c:v>-171.87858658642244</c:v>
                </c:pt>
                <c:pt idx="17">
                  <c:v>-242.37950315800978</c:v>
                </c:pt>
                <c:pt idx="18">
                  <c:v>-96.95180126320389</c:v>
                </c:pt>
                <c:pt idx="19">
                  <c:v>-26.450884691616551</c:v>
                </c:pt>
                <c:pt idx="20">
                  <c:v>-171.87858658642244</c:v>
                </c:pt>
                <c:pt idx="22">
                  <c:v>96.951801263203947</c:v>
                </c:pt>
                <c:pt idx="23">
                  <c:v>242.37950315800981</c:v>
                </c:pt>
                <c:pt idx="24">
                  <c:v>312.88041972959718</c:v>
                </c:pt>
                <c:pt idx="25">
                  <c:v>167.45271783479131</c:v>
                </c:pt>
                <c:pt idx="26">
                  <c:v>96.951801263203947</c:v>
                </c:pt>
                <c:pt idx="28">
                  <c:v>96.951801263203947</c:v>
                </c:pt>
                <c:pt idx="29">
                  <c:v>167.45271783479131</c:v>
                </c:pt>
                <c:pt idx="30">
                  <c:v>-26.450884691616551</c:v>
                </c:pt>
                <c:pt idx="31">
                  <c:v>-96.95180126320389</c:v>
                </c:pt>
                <c:pt idx="32">
                  <c:v>96.951801263203947</c:v>
                </c:pt>
                <c:pt idx="34">
                  <c:v>-171.87858658642244</c:v>
                </c:pt>
                <c:pt idx="35">
                  <c:v>-171.87858658642244</c:v>
                </c:pt>
                <c:pt idx="36">
                  <c:v>312.88041972959718</c:v>
                </c:pt>
                <c:pt idx="37">
                  <c:v>312.88041972959718</c:v>
                </c:pt>
                <c:pt idx="38">
                  <c:v>167.45271783479131</c:v>
                </c:pt>
                <c:pt idx="39">
                  <c:v>167.45271783479131</c:v>
                </c:pt>
                <c:pt idx="40">
                  <c:v>-26.450884691616551</c:v>
                </c:pt>
                <c:pt idx="41">
                  <c:v>-26.450884691616551</c:v>
                </c:pt>
                <c:pt idx="42">
                  <c:v>-171.87858658642244</c:v>
                </c:pt>
                <c:pt idx="44">
                  <c:v>-242.37950315800978</c:v>
                </c:pt>
                <c:pt idx="45">
                  <c:v>-242.37950315800978</c:v>
                </c:pt>
                <c:pt idx="46">
                  <c:v>242.37950315800981</c:v>
                </c:pt>
                <c:pt idx="47">
                  <c:v>242.37950315800981</c:v>
                </c:pt>
                <c:pt idx="48">
                  <c:v>96.951801263203947</c:v>
                </c:pt>
                <c:pt idx="49">
                  <c:v>96.951801263203947</c:v>
                </c:pt>
                <c:pt idx="50">
                  <c:v>-96.95180126320389</c:v>
                </c:pt>
                <c:pt idx="51">
                  <c:v>-96.95180126320389</c:v>
                </c:pt>
                <c:pt idx="52">
                  <c:v>-242.37950315800978</c:v>
                </c:pt>
                <c:pt idx="54">
                  <c:v>-224.72819206057028</c:v>
                </c:pt>
                <c:pt idx="55">
                  <c:v>-224.72819206057028</c:v>
                </c:pt>
                <c:pt idx="56">
                  <c:v>66.127211729041505</c:v>
                </c:pt>
                <c:pt idx="57">
                  <c:v>66.127211729041505</c:v>
                </c:pt>
                <c:pt idx="58">
                  <c:v>-224.72819206057028</c:v>
                </c:pt>
                <c:pt idx="60">
                  <c:v>-524.38316944435905</c:v>
                </c:pt>
                <c:pt idx="61">
                  <c:v>-524.38316944435905</c:v>
                </c:pt>
                <c:pt idx="62">
                  <c:v>-330.47956691795127</c:v>
                </c:pt>
                <c:pt idx="63">
                  <c:v>-330.47956691795127</c:v>
                </c:pt>
                <c:pt idx="64">
                  <c:v>-524.38316944435905</c:v>
                </c:pt>
                <c:pt idx="66">
                  <c:v>-187.29088135350366</c:v>
                </c:pt>
                <c:pt idx="67">
                  <c:v>-310.6674853537815</c:v>
                </c:pt>
                <c:pt idx="68">
                  <c:v>-141.00183314317465</c:v>
                </c:pt>
                <c:pt idx="70">
                  <c:v>-149.82748869189439</c:v>
                </c:pt>
                <c:pt idx="71">
                  <c:v>-361.33023840665635</c:v>
                </c:pt>
                <c:pt idx="73">
                  <c:v>-72.713850947402904</c:v>
                </c:pt>
                <c:pt idx="74">
                  <c:v>2.8421709430404007E-14</c:v>
                </c:pt>
                <c:pt idx="75">
                  <c:v>72.71385094740296</c:v>
                </c:pt>
              </c:numCache>
            </c:numRef>
          </c:xVal>
          <c:yVal>
            <c:numRef>
              <c:f>Main!$B$149:$B$224</c:f>
              <c:numCache>
                <c:formatCode>General</c:formatCode>
                <c:ptCount val="76"/>
                <c:pt idx="0">
                  <c:v>-515.82578571976001</c:v>
                </c:pt>
                <c:pt idx="1">
                  <c:v>-761.34946877758364</c:v>
                </c:pt>
                <c:pt idx="2">
                  <c:v>-1003.3726400942961</c:v>
                </c:pt>
                <c:pt idx="3">
                  <c:v>-929.71553517694906</c:v>
                </c:pt>
                <c:pt idx="4">
                  <c:v>-1292.7502921520177</c:v>
                </c:pt>
                <c:pt idx="5">
                  <c:v>-1120.8837140115411</c:v>
                </c:pt>
                <c:pt idx="6">
                  <c:v>-515.82578571976001</c:v>
                </c:pt>
                <c:pt idx="8">
                  <c:v>-217.9467277404375</c:v>
                </c:pt>
                <c:pt idx="9">
                  <c:v>-414.36567418669642</c:v>
                </c:pt>
                <c:pt idx="10">
                  <c:v>-656.3888455034089</c:v>
                </c:pt>
                <c:pt idx="11">
                  <c:v>-582.73174058606185</c:v>
                </c:pt>
                <c:pt idx="12">
                  <c:v>-945.76649756113056</c:v>
                </c:pt>
                <c:pt idx="13">
                  <c:v>-823.00465603221869</c:v>
                </c:pt>
                <c:pt idx="14">
                  <c:v>-217.9467277404375</c:v>
                </c:pt>
                <c:pt idx="16">
                  <c:v>525.12559805290175</c:v>
                </c:pt>
                <c:pt idx="17">
                  <c:v>476.02086144133705</c:v>
                </c:pt>
                <c:pt idx="18">
                  <c:v>294.50348295380263</c:v>
                </c:pt>
                <c:pt idx="19">
                  <c:v>343.60821956536734</c:v>
                </c:pt>
                <c:pt idx="20">
                  <c:v>525.12559805290175</c:v>
                </c:pt>
                <c:pt idx="22">
                  <c:v>52.480311637090153</c:v>
                </c:pt>
                <c:pt idx="23">
                  <c:v>-129.03706685044415</c:v>
                </c:pt>
                <c:pt idx="24">
                  <c:v>-79.932330238879445</c:v>
                </c:pt>
                <c:pt idx="25">
                  <c:v>101.58504824865486</c:v>
                </c:pt>
                <c:pt idx="26">
                  <c:v>52.480311637090153</c:v>
                </c:pt>
                <c:pt idx="28">
                  <c:v>746.44790081886458</c:v>
                </c:pt>
                <c:pt idx="29">
                  <c:v>795.55263743042929</c:v>
                </c:pt>
                <c:pt idx="30">
                  <c:v>1037.5758087471418</c:v>
                </c:pt>
                <c:pt idx="31">
                  <c:v>988.47107213557706</c:v>
                </c:pt>
                <c:pt idx="32">
                  <c:v>746.44790081886458</c:v>
                </c:pt>
                <c:pt idx="34">
                  <c:v>525.12559805290175</c:v>
                </c:pt>
                <c:pt idx="35">
                  <c:v>-515.82578571976001</c:v>
                </c:pt>
                <c:pt idx="36">
                  <c:v>-1120.8837140115411</c:v>
                </c:pt>
                <c:pt idx="37">
                  <c:v>-79.932330238879445</c:v>
                </c:pt>
                <c:pt idx="38">
                  <c:v>101.58504824865486</c:v>
                </c:pt>
                <c:pt idx="39">
                  <c:v>795.55263743042929</c:v>
                </c:pt>
                <c:pt idx="40">
                  <c:v>1037.5758087471418</c:v>
                </c:pt>
                <c:pt idx="41">
                  <c:v>343.60821956536734</c:v>
                </c:pt>
                <c:pt idx="42">
                  <c:v>525.12559805290175</c:v>
                </c:pt>
                <c:pt idx="44">
                  <c:v>476.02086144133705</c:v>
                </c:pt>
                <c:pt idx="45">
                  <c:v>-217.9467277404375</c:v>
                </c:pt>
                <c:pt idx="46">
                  <c:v>-823.00465603221869</c:v>
                </c:pt>
                <c:pt idx="47">
                  <c:v>-129.03706685044415</c:v>
                </c:pt>
                <c:pt idx="48">
                  <c:v>52.480311637090153</c:v>
                </c:pt>
                <c:pt idx="49">
                  <c:v>746.44790081886458</c:v>
                </c:pt>
                <c:pt idx="50">
                  <c:v>988.47107213557706</c:v>
                </c:pt>
                <c:pt idx="51">
                  <c:v>294.50348295380263</c:v>
                </c:pt>
                <c:pt idx="52">
                  <c:v>476.02086144133705</c:v>
                </c:pt>
                <c:pt idx="54">
                  <c:v>-582.73174058606185</c:v>
                </c:pt>
                <c:pt idx="55">
                  <c:v>-929.71553517694906</c:v>
                </c:pt>
                <c:pt idx="56">
                  <c:v>-1292.7502921520177</c:v>
                </c:pt>
                <c:pt idx="57">
                  <c:v>-945.76649756113056</c:v>
                </c:pt>
                <c:pt idx="58">
                  <c:v>-582.73174058606185</c:v>
                </c:pt>
                <c:pt idx="60">
                  <c:v>-414.36567418669642</c:v>
                </c:pt>
                <c:pt idx="61">
                  <c:v>-761.34946877758364</c:v>
                </c:pt>
                <c:pt idx="62">
                  <c:v>-1003.3726400942961</c:v>
                </c:pt>
                <c:pt idx="63">
                  <c:v>-656.3888455034089</c:v>
                </c:pt>
                <c:pt idx="64">
                  <c:v>-414.36567418669642</c:v>
                </c:pt>
                <c:pt idx="66">
                  <c:v>-320.98160113709588</c:v>
                </c:pt>
                <c:pt idx="67">
                  <c:v>-406.91489020733417</c:v>
                </c:pt>
                <c:pt idx="68">
                  <c:v>-618.68516510945756</c:v>
                </c:pt>
                <c:pt idx="70">
                  <c:v>-436.29265868664544</c:v>
                </c:pt>
                <c:pt idx="71">
                  <c:v>-583.60686852133961</c:v>
                </c:pt>
                <c:pt idx="73">
                  <c:v>784.72627842554448</c:v>
                </c:pt>
                <c:pt idx="74">
                  <c:v>2.7284841053187847E-12</c:v>
                </c:pt>
                <c:pt idx="75">
                  <c:v>82.733208051679185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72080"/>
        <c:axId val="1093074256"/>
      </c:scatterChart>
      <c:valAx>
        <c:axId val="1093072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3074256"/>
        <c:crosses val="autoZero"/>
        <c:crossBetween val="midCat"/>
      </c:valAx>
      <c:valAx>
        <c:axId val="109307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3072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000000"/>
              </a:solidFill>
              <a:latin typeface="Arial"/>
              <a:cs typeface="Arial"/>
            </a:rPr>
            <a:t>need explanation of visibility:  uvn system is right-handed, therefore, with vertices ccw, calculated normal is outward from face, therefore visibility when angle between v and lofs is greater than 90 deg, cos theta neg, so dot product is negative.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3" name="Text Box 19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11: for each face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list of verts ccw: 2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calc of v: 4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lofs: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dot prod: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interp: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total 9 each, for </a:t>
          </a:r>
          <a:r>
            <a:rPr lang="en-CA" sz="1000" b="1" i="0" strike="noStrike">
              <a:solidFill>
                <a:srgbClr val="FF0000"/>
              </a:solidFill>
              <a:latin typeface="Arial"/>
              <a:cs typeface="Arial"/>
            </a:rPr>
            <a:t>18 in all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4" name="Text Box 20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11, cont'd:  2 marks for explanation of visibility criterion.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6" name="Text Box 22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13:  nothing to mark -- I must have accidentally deleted the instruction to print out the results, etc. so step 11 is the last step requiring proof of work.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7" name="Text Box 23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use u*v*n*, -4 marks.</a:t>
          </a:r>
        </a:p>
      </xdr:txBody>
    </xdr:sp>
    <xdr:clientData/>
  </xdr:twoCellAnchor>
  <xdr:twoCellAnchor>
    <xdr:from>
      <xdr:col>6</xdr:col>
      <xdr:colOff>9525</xdr:colOff>
      <xdr:row>22</xdr:row>
      <xdr:rowOff>19050</xdr:rowOff>
    </xdr:from>
    <xdr:to>
      <xdr:col>10</xdr:col>
      <xdr:colOff>47625</xdr:colOff>
      <xdr:row>32</xdr:row>
      <xdr:rowOff>142875</xdr:rowOff>
    </xdr:to>
    <xdr:sp macro="" textlink="">
      <xdr:nvSpPr>
        <xdr:cNvPr id="1048" name="Text Box 24"/>
        <xdr:cNvSpPr txBox="1">
          <a:spLocks noChangeArrowheads="1"/>
        </xdr:cNvSpPr>
      </xdr:nvSpPr>
      <xdr:spPr bwMode="auto">
        <a:xfrm>
          <a:off x="3609975" y="3838575"/>
          <a:ext cx="2438400" cy="1752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4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This is a list of the x, y, z, and h coordinates for the shape under view in this assignment.  The cells with a colored background are adjustable.  All other values are computed by formula from the values in these adjustable cells. 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graphicFrame macro="">
      <xdr:nvGraphicFramePr>
        <xdr:cNvPr id="415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0</xdr:col>
      <xdr:colOff>0</xdr:colOff>
      <xdr:row>41</xdr:row>
      <xdr:rowOff>0</xdr:rowOff>
    </xdr:to>
    <xdr:graphicFrame macro="">
      <xdr:nvGraphicFramePr>
        <xdr:cNvPr id="4151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228600</xdr:colOff>
      <xdr:row>15</xdr:row>
      <xdr:rowOff>28575</xdr:rowOff>
    </xdr:from>
    <xdr:to>
      <xdr:col>4</xdr:col>
      <xdr:colOff>47625</xdr:colOff>
      <xdr:row>20</xdr:row>
      <xdr:rowOff>95250</xdr:rowOff>
    </xdr:to>
    <xdr:sp macro="" textlink="">
      <xdr:nvSpPr>
        <xdr:cNvPr id="1057" name="Text Box 33"/>
        <xdr:cNvSpPr txBox="1">
          <a:spLocks noChangeArrowheads="1"/>
        </xdr:cNvSpPr>
      </xdr:nvSpPr>
      <xdr:spPr bwMode="auto">
        <a:xfrm>
          <a:off x="228600" y="2695575"/>
          <a:ext cx="2219325" cy="895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1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You can modify what clicking these buttons does by opening the visual basic editor.  They are presently set up to modify cell E7 (the value of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).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485775</xdr:colOff>
      <xdr:row>5</xdr:row>
      <xdr:rowOff>152400</xdr:rowOff>
    </xdr:from>
    <xdr:to>
      <xdr:col>7</xdr:col>
      <xdr:colOff>390525</xdr:colOff>
      <xdr:row>7</xdr:row>
      <xdr:rowOff>123825</xdr:rowOff>
    </xdr:to>
    <xdr:sp macro="" textlink="">
      <xdr:nvSpPr>
        <xdr:cNvPr id="4153" name="Line 34"/>
        <xdr:cNvSpPr>
          <a:spLocks noChangeShapeType="1"/>
        </xdr:cNvSpPr>
      </xdr:nvSpPr>
      <xdr:spPr bwMode="auto">
        <a:xfrm flipH="1">
          <a:off x="3486150" y="1190625"/>
          <a:ext cx="110490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438150</xdr:colOff>
      <xdr:row>2</xdr:row>
      <xdr:rowOff>19050</xdr:rowOff>
    </xdr:from>
    <xdr:to>
      <xdr:col>11</xdr:col>
      <xdr:colOff>257175</xdr:colOff>
      <xdr:row>15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4638675" y="504825"/>
          <a:ext cx="2219325" cy="2162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2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 understand cylindrical coordinates imagine a tin can.  y=0 is the bottom of the tin can, and positive values of y represent positions on the can above the base.  r is the radius of the can.  Angle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measures the angle around the can.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you keep a constant r and a constant y and let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run from 0 to 2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p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then you follow a circular path around the can at the specified height y.</a:t>
          </a:r>
        </a:p>
      </xdr:txBody>
    </xdr:sp>
    <xdr:clientData/>
  </xdr:twoCellAnchor>
  <xdr:twoCellAnchor>
    <xdr:from>
      <xdr:col>1</xdr:col>
      <xdr:colOff>285750</xdr:colOff>
      <xdr:row>12</xdr:row>
      <xdr:rowOff>57150</xdr:rowOff>
    </xdr:from>
    <xdr:to>
      <xdr:col>2</xdr:col>
      <xdr:colOff>0</xdr:colOff>
      <xdr:row>15</xdr:row>
      <xdr:rowOff>28575</xdr:rowOff>
    </xdr:to>
    <xdr:sp macro="" textlink="">
      <xdr:nvSpPr>
        <xdr:cNvPr id="4155" name="Line 48"/>
        <xdr:cNvSpPr>
          <a:spLocks noChangeShapeType="1"/>
        </xdr:cNvSpPr>
      </xdr:nvSpPr>
      <xdr:spPr bwMode="auto">
        <a:xfrm flipH="1" flipV="1">
          <a:off x="885825" y="2238375"/>
          <a:ext cx="3143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123825</xdr:colOff>
      <xdr:row>15</xdr:row>
      <xdr:rowOff>38100</xdr:rowOff>
    </xdr:from>
    <xdr:to>
      <xdr:col>9</xdr:col>
      <xdr:colOff>285750</xdr:colOff>
      <xdr:row>18</xdr:row>
      <xdr:rowOff>142875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3124200" y="2705100"/>
          <a:ext cx="2562225" cy="609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3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 rectangular coordinates of the VRP are computed from the cylindrical coordinates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514350</xdr:colOff>
      <xdr:row>11</xdr:row>
      <xdr:rowOff>104775</xdr:rowOff>
    </xdr:from>
    <xdr:to>
      <xdr:col>6</xdr:col>
      <xdr:colOff>495300</xdr:colOff>
      <xdr:row>15</xdr:row>
      <xdr:rowOff>38100</xdr:rowOff>
    </xdr:to>
    <xdr:sp macro="" textlink="">
      <xdr:nvSpPr>
        <xdr:cNvPr id="4157" name="Line 50"/>
        <xdr:cNvSpPr>
          <a:spLocks noChangeShapeType="1"/>
        </xdr:cNvSpPr>
      </xdr:nvSpPr>
      <xdr:spPr bwMode="auto">
        <a:xfrm flipH="1" flipV="1">
          <a:off x="3514725" y="2114550"/>
          <a:ext cx="581025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76200</xdr:colOff>
      <xdr:row>4</xdr:row>
      <xdr:rowOff>19050</xdr:rowOff>
    </xdr:from>
    <xdr:to>
      <xdr:col>2</xdr:col>
      <xdr:colOff>371475</xdr:colOff>
      <xdr:row>9</xdr:row>
      <xdr:rowOff>114300</xdr:rowOff>
    </xdr:to>
    <xdr:sp macro="" textlink="">
      <xdr:nvSpPr>
        <xdr:cNvPr id="4158" name="AutoShape 53"/>
        <xdr:cNvSpPr>
          <a:spLocks/>
        </xdr:cNvSpPr>
      </xdr:nvSpPr>
      <xdr:spPr bwMode="auto">
        <a:xfrm>
          <a:off x="1276350" y="885825"/>
          <a:ext cx="295275" cy="914400"/>
        </a:xfrm>
        <a:prstGeom prst="rightBrace">
          <a:avLst>
            <a:gd name="adj1" fmla="val 25806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400050</xdr:colOff>
      <xdr:row>6</xdr:row>
      <xdr:rowOff>152400</xdr:rowOff>
    </xdr:from>
    <xdr:to>
      <xdr:col>3</xdr:col>
      <xdr:colOff>571500</xdr:colOff>
      <xdr:row>7</xdr:row>
      <xdr:rowOff>76200</xdr:rowOff>
    </xdr:to>
    <xdr:cxnSp macro="">
      <xdr:nvCxnSpPr>
        <xdr:cNvPr id="4159" name="AutoShape 62"/>
        <xdr:cNvCxnSpPr>
          <a:cxnSpLocks noChangeShapeType="1"/>
        </xdr:cNvCxnSpPr>
      </xdr:nvCxnSpPr>
      <xdr:spPr bwMode="auto">
        <a:xfrm>
          <a:off x="1600200" y="1352550"/>
          <a:ext cx="771525" cy="85725"/>
        </a:xfrm>
        <a:prstGeom prst="bentConnector3">
          <a:avLst>
            <a:gd name="adj1" fmla="val 81481"/>
          </a:avLst>
        </a:prstGeom>
        <a:noFill/>
        <a:ln w="9525">
          <a:solidFill>
            <a:srgbClr val="000000"/>
          </a:solidFill>
          <a:miter lim="800000"/>
          <a:headEnd/>
          <a:tailEnd type="triangle" w="med" len="med"/>
        </a:ln>
      </xdr:spPr>
    </xdr:cxnSp>
    <xdr:clientData/>
  </xdr:twoCellAnchor>
  <xdr:twoCellAnchor>
    <xdr:from>
      <xdr:col>12</xdr:col>
      <xdr:colOff>19050</xdr:colOff>
      <xdr:row>1</xdr:row>
      <xdr:rowOff>219075</xdr:rowOff>
    </xdr:from>
    <xdr:to>
      <xdr:col>17</xdr:col>
      <xdr:colOff>161925</xdr:colOff>
      <xdr:row>19</xdr:row>
      <xdr:rowOff>9525</xdr:rowOff>
    </xdr:to>
    <xdr:graphicFrame macro="">
      <xdr:nvGraphicFramePr>
        <xdr:cNvPr id="4160" name="Chart 10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66675</xdr:colOff>
      <xdr:row>23</xdr:row>
      <xdr:rowOff>95250</xdr:rowOff>
    </xdr:from>
    <xdr:to>
      <xdr:col>6</xdr:col>
      <xdr:colOff>9525</xdr:colOff>
      <xdr:row>35</xdr:row>
      <xdr:rowOff>57150</xdr:rowOff>
    </xdr:to>
    <xdr:sp macro="" textlink="">
      <xdr:nvSpPr>
        <xdr:cNvPr id="4161" name="Line 1025"/>
        <xdr:cNvSpPr>
          <a:spLocks noChangeShapeType="1"/>
        </xdr:cNvSpPr>
      </xdr:nvSpPr>
      <xdr:spPr bwMode="auto">
        <a:xfrm flipH="1">
          <a:off x="3067050" y="4076700"/>
          <a:ext cx="542925" cy="1914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12</xdr:col>
      <xdr:colOff>400050</xdr:colOff>
      <xdr:row>19</xdr:row>
      <xdr:rowOff>95250</xdr:rowOff>
    </xdr:from>
    <xdr:to>
      <xdr:col>16</xdr:col>
      <xdr:colOff>76200</xdr:colOff>
      <xdr:row>44</xdr:row>
      <xdr:rowOff>95250</xdr:rowOff>
    </xdr:to>
    <xdr:sp macro="" textlink="">
      <xdr:nvSpPr>
        <xdr:cNvPr id="4098" name="Text Box 1026"/>
        <xdr:cNvSpPr txBox="1">
          <a:spLocks noChangeArrowheads="1"/>
        </xdr:cNvSpPr>
      </xdr:nvSpPr>
      <xdr:spPr bwMode="auto">
        <a:xfrm>
          <a:off x="7600950" y="3429000"/>
          <a:ext cx="2076450" cy="405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5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Suppose you wish to draw a line from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a to c and a second line from b to d and a third line from k to l to m.  Here is an easy way to do it: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 a column put: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a, c, blank, b, d, blank, k, l, m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(each blank means this line is finished)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Then use the VLOOKUP function as illustrated here to copy in the coordinates.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Delete any #N/A entries. 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Then make a scatter plot with straight lines.  Click on the chart to see where the data is coming from.</a:t>
          </a:r>
        </a:p>
      </xdr:txBody>
    </xdr:sp>
    <xdr:clientData/>
  </xdr:twoCellAnchor>
  <xdr:twoCellAnchor>
    <xdr:from>
      <xdr:col>16</xdr:col>
      <xdr:colOff>76200</xdr:colOff>
      <xdr:row>19</xdr:row>
      <xdr:rowOff>19050</xdr:rowOff>
    </xdr:from>
    <xdr:to>
      <xdr:col>18</xdr:col>
      <xdr:colOff>0</xdr:colOff>
      <xdr:row>29</xdr:row>
      <xdr:rowOff>85725</xdr:rowOff>
    </xdr:to>
    <xdr:sp macro="" textlink="">
      <xdr:nvSpPr>
        <xdr:cNvPr id="4163" name="Line 1028"/>
        <xdr:cNvSpPr>
          <a:spLocks noChangeShapeType="1"/>
        </xdr:cNvSpPr>
      </xdr:nvSpPr>
      <xdr:spPr bwMode="auto">
        <a:xfrm flipV="1">
          <a:off x="9677400" y="3352800"/>
          <a:ext cx="1123950" cy="1695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3</xdr:row>
          <xdr:rowOff>99060</xdr:rowOff>
        </xdr:from>
        <xdr:to>
          <xdr:col>1</xdr:col>
          <xdr:colOff>274320</xdr:colOff>
          <xdr:row>5</xdr:row>
          <xdr:rowOff>38100</xdr:rowOff>
        </xdr:to>
        <xdr:sp macro="" textlink="">
          <xdr:nvSpPr>
            <xdr:cNvPr id="1049" name="cmdRezer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6</xdr:row>
          <xdr:rowOff>60960</xdr:rowOff>
        </xdr:from>
        <xdr:to>
          <xdr:col>1</xdr:col>
          <xdr:colOff>281940</xdr:colOff>
          <xdr:row>8</xdr:row>
          <xdr:rowOff>60960</xdr:rowOff>
        </xdr:to>
        <xdr:sp macro="" textlink="">
          <xdr:nvSpPr>
            <xdr:cNvPr id="1050" name="cmdIncrement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9</xdr:row>
          <xdr:rowOff>22860</xdr:rowOff>
        </xdr:from>
        <xdr:to>
          <xdr:col>1</xdr:col>
          <xdr:colOff>289560</xdr:colOff>
          <xdr:row>11</xdr:row>
          <xdr:rowOff>22860</xdr:rowOff>
        </xdr:to>
        <xdr:sp macro="" textlink="">
          <xdr:nvSpPr>
            <xdr:cNvPr id="1056" name="cmdDecrement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266700</xdr:colOff>
      <xdr:row>62</xdr:row>
      <xdr:rowOff>60960</xdr:rowOff>
    </xdr:from>
    <xdr:ext cx="65" cy="172227"/>
    <xdr:sp macro="" textlink="">
      <xdr:nvSpPr>
        <xdr:cNvPr id="2" name="TextBox 1"/>
        <xdr:cNvSpPr txBox="1"/>
      </xdr:nvSpPr>
      <xdr:spPr>
        <a:xfrm>
          <a:off x="6758940" y="106984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CA" sz="1100"/>
        </a:p>
      </xdr:txBody>
    </xdr:sp>
    <xdr:clientData/>
  </xdr:oneCellAnchor>
  <xdr:oneCellAnchor>
    <xdr:from>
      <xdr:col>10</xdr:col>
      <xdr:colOff>266700</xdr:colOff>
      <xdr:row>62</xdr:row>
      <xdr:rowOff>60960</xdr:rowOff>
    </xdr:from>
    <xdr:ext cx="65" cy="172227"/>
    <xdr:sp macro="" textlink="">
      <xdr:nvSpPr>
        <xdr:cNvPr id="3" name="TextBox 2"/>
        <xdr:cNvSpPr txBox="1"/>
      </xdr:nvSpPr>
      <xdr:spPr>
        <a:xfrm>
          <a:off x="6758940" y="1069848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CA" sz="1100"/>
        </a:p>
      </xdr:txBody>
    </xdr:sp>
    <xdr:clientData/>
  </xdr:oneCellAnchor>
  <xdr:twoCellAnchor>
    <xdr:from>
      <xdr:col>1</xdr:col>
      <xdr:colOff>0</xdr:colOff>
      <xdr:row>129</xdr:row>
      <xdr:rowOff>0</xdr:rowOff>
    </xdr:from>
    <xdr:to>
      <xdr:col>1</xdr:col>
      <xdr:colOff>0</xdr:colOff>
      <xdr:row>129</xdr:row>
      <xdr:rowOff>0</xdr:rowOff>
    </xdr:to>
    <xdr:sp macro="" textlink="">
      <xdr:nvSpPr>
        <xdr:cNvPr id="39" name="Text Box 18"/>
        <xdr:cNvSpPr txBox="1">
          <a:spLocks noChangeArrowheads="1"/>
        </xdr:cNvSpPr>
      </xdr:nvSpPr>
      <xdr:spPr bwMode="auto">
        <a:xfrm>
          <a:off x="899160" y="7109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000000"/>
              </a:solidFill>
              <a:latin typeface="Arial"/>
              <a:cs typeface="Arial"/>
            </a:rPr>
            <a:t>need explanation of visibility:  uvn system is right-handed, therefore, with vertices ccw, calculated normal is outward from face, therefore visibility when angle between v and lofs is greater than 90 deg, cos theta neg, so dot product is negative.</a:t>
          </a:r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0</xdr:colOff>
      <xdr:row>129</xdr:row>
      <xdr:rowOff>0</xdr:rowOff>
    </xdr:to>
    <xdr:sp macro="" textlink="">
      <xdr:nvSpPr>
        <xdr:cNvPr id="40" name="Text Box 19"/>
        <xdr:cNvSpPr txBox="1">
          <a:spLocks noChangeArrowheads="1"/>
        </xdr:cNvSpPr>
      </xdr:nvSpPr>
      <xdr:spPr bwMode="auto">
        <a:xfrm>
          <a:off x="899160" y="7109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11: for each face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list of verts ccw: 2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calc of v: 4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lofs: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dot prod: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interp: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total 9 each, for </a:t>
          </a:r>
          <a:r>
            <a:rPr lang="en-CA" sz="1000" b="1" i="0" strike="noStrike">
              <a:solidFill>
                <a:srgbClr val="FF0000"/>
              </a:solidFill>
              <a:latin typeface="Arial"/>
              <a:cs typeface="Arial"/>
            </a:rPr>
            <a:t>18 in all</a:t>
          </a:r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0</xdr:colOff>
      <xdr:row>129</xdr:row>
      <xdr:rowOff>0</xdr:rowOff>
    </xdr:to>
    <xdr:sp macro="" textlink="">
      <xdr:nvSpPr>
        <xdr:cNvPr id="41" name="Text Box 20"/>
        <xdr:cNvSpPr txBox="1">
          <a:spLocks noChangeArrowheads="1"/>
        </xdr:cNvSpPr>
      </xdr:nvSpPr>
      <xdr:spPr bwMode="auto">
        <a:xfrm>
          <a:off x="899160" y="7109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11, cont'd:  2 marks for explanation of visibility criterion.</a:t>
          </a:r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0</xdr:colOff>
      <xdr:row>129</xdr:row>
      <xdr:rowOff>0</xdr:rowOff>
    </xdr:to>
    <xdr:sp macro="" textlink="">
      <xdr:nvSpPr>
        <xdr:cNvPr id="42" name="Text Box 22"/>
        <xdr:cNvSpPr txBox="1">
          <a:spLocks noChangeArrowheads="1"/>
        </xdr:cNvSpPr>
      </xdr:nvSpPr>
      <xdr:spPr bwMode="auto">
        <a:xfrm>
          <a:off x="899160" y="7109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13:  nothing to mark -- I must have accidentally deleted the instruction to print out the results, etc. so step 11 is the last step requiring proof of work.</a:t>
          </a:r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0</xdr:colOff>
      <xdr:row>129</xdr:row>
      <xdr:rowOff>0</xdr:rowOff>
    </xdr:to>
    <xdr:sp macro="" textlink="">
      <xdr:nvSpPr>
        <xdr:cNvPr id="43" name="Text Box 23"/>
        <xdr:cNvSpPr txBox="1">
          <a:spLocks noChangeArrowheads="1"/>
        </xdr:cNvSpPr>
      </xdr:nvSpPr>
      <xdr:spPr bwMode="auto">
        <a:xfrm>
          <a:off x="899160" y="710946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use u*v*n*, -4 marks.</a:t>
          </a:r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0</xdr:colOff>
      <xdr:row>129</xdr:row>
      <xdr:rowOff>0</xdr:rowOff>
    </xdr:to>
    <xdr:graphicFrame macro="">
      <xdr:nvGraphicFramePr>
        <xdr:cNvPr id="44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190500</xdr:colOff>
      <xdr:row>153</xdr:row>
      <xdr:rowOff>160020</xdr:rowOff>
    </xdr:from>
    <xdr:to>
      <xdr:col>11</xdr:col>
      <xdr:colOff>76200</xdr:colOff>
      <xdr:row>174</xdr:row>
      <xdr:rowOff>91440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579120</xdr:colOff>
      <xdr:row>232</xdr:row>
      <xdr:rowOff>68580</xdr:rowOff>
    </xdr:from>
    <xdr:to>
      <xdr:col>28</xdr:col>
      <xdr:colOff>464820</xdr:colOff>
      <xdr:row>253</xdr:row>
      <xdr:rowOff>0</xdr:rowOff>
    </xdr:to>
    <xdr:graphicFrame macro="">
      <xdr:nvGraphicFramePr>
        <xdr:cNvPr id="53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0"/>
  <sheetViews>
    <sheetView workbookViewId="0">
      <selection activeCell="A2" sqref="A2"/>
    </sheetView>
  </sheetViews>
  <sheetFormatPr defaultRowHeight="13.2" x14ac:dyDescent="0.25"/>
  <cols>
    <col min="1" max="1" width="15.5546875" bestFit="1" customWidth="1"/>
  </cols>
  <sheetData>
    <row r="1" spans="1:3" x14ac:dyDescent="0.25">
      <c r="A1" s="47">
        <v>41960.439328703702</v>
      </c>
      <c r="B1" s="48" t="s">
        <v>41</v>
      </c>
      <c r="C1" s="48" t="s">
        <v>36</v>
      </c>
    </row>
    <row r="2" spans="1:3" x14ac:dyDescent="0.25">
      <c r="A2" s="47">
        <v>41960.439583333333</v>
      </c>
      <c r="B2" s="48" t="s">
        <v>41</v>
      </c>
      <c r="C2" s="48" t="s">
        <v>36</v>
      </c>
    </row>
    <row r="3" spans="1:3" x14ac:dyDescent="0.25">
      <c r="A3" s="47">
        <v>42322.379374999997</v>
      </c>
      <c r="B3" s="48" t="s">
        <v>42</v>
      </c>
      <c r="C3" s="48" t="s">
        <v>36</v>
      </c>
    </row>
    <row r="4" spans="1:3" x14ac:dyDescent="0.25">
      <c r="A4" s="47">
        <v>42322.381956018522</v>
      </c>
      <c r="B4" s="48" t="s">
        <v>42</v>
      </c>
      <c r="C4" s="48" t="s">
        <v>36</v>
      </c>
    </row>
    <row r="5" spans="1:3" x14ac:dyDescent="0.25">
      <c r="A5" s="47">
        <v>42334.665578703702</v>
      </c>
      <c r="B5" s="48" t="s">
        <v>43</v>
      </c>
      <c r="C5" s="48" t="s">
        <v>36</v>
      </c>
    </row>
    <row r="6" spans="1:3" x14ac:dyDescent="0.25">
      <c r="A6" s="47">
        <v>42334.665844907409</v>
      </c>
      <c r="B6" s="48" t="s">
        <v>43</v>
      </c>
      <c r="C6" s="48" t="s">
        <v>44</v>
      </c>
    </row>
    <row r="7" spans="1:3" x14ac:dyDescent="0.25">
      <c r="A7" s="47">
        <v>42334.665995370371</v>
      </c>
      <c r="B7" s="48" t="s">
        <v>43</v>
      </c>
      <c r="C7" s="48" t="s">
        <v>44</v>
      </c>
    </row>
    <row r="8" spans="1:3" x14ac:dyDescent="0.25">
      <c r="A8" s="47">
        <v>42334.666898148149</v>
      </c>
      <c r="B8" s="48" t="s">
        <v>45</v>
      </c>
      <c r="C8" s="48" t="s">
        <v>44</v>
      </c>
    </row>
    <row r="9" spans="1:3" x14ac:dyDescent="0.25">
      <c r="A9" s="51">
        <v>42334.667951388888</v>
      </c>
      <c r="B9" s="52" t="s">
        <v>45</v>
      </c>
      <c r="C9" s="52" t="s">
        <v>44</v>
      </c>
    </row>
    <row r="10" spans="1:3" x14ac:dyDescent="0.25">
      <c r="A10" s="51">
        <v>42334.668738425928</v>
      </c>
      <c r="B10" s="52" t="s">
        <v>45</v>
      </c>
      <c r="C10" s="52" t="s">
        <v>44</v>
      </c>
    </row>
    <row r="11" spans="1:3" x14ac:dyDescent="0.25">
      <c r="A11" s="51">
        <v>42334.668796296297</v>
      </c>
      <c r="B11" s="52" t="s">
        <v>45</v>
      </c>
      <c r="C11" s="52" t="s">
        <v>44</v>
      </c>
    </row>
    <row r="12" spans="1:3" x14ac:dyDescent="0.25">
      <c r="A12" s="51">
        <v>42334.669108796297</v>
      </c>
      <c r="B12" s="52" t="s">
        <v>45</v>
      </c>
      <c r="C12" s="52" t="s">
        <v>44</v>
      </c>
    </row>
    <row r="13" spans="1:3" x14ac:dyDescent="0.25">
      <c r="A13" s="51">
        <v>42334.66914351852</v>
      </c>
      <c r="B13" s="52" t="s">
        <v>45</v>
      </c>
      <c r="C13" s="52" t="s">
        <v>44</v>
      </c>
    </row>
    <row r="14" spans="1:3" x14ac:dyDescent="0.25">
      <c r="A14" s="51">
        <v>42334.672395833331</v>
      </c>
      <c r="B14" s="52" t="s">
        <v>45</v>
      </c>
      <c r="C14" s="52" t="s">
        <v>44</v>
      </c>
    </row>
    <row r="15" spans="1:3" x14ac:dyDescent="0.25">
      <c r="A15" s="51">
        <v>42334.674571759257</v>
      </c>
      <c r="B15" s="52" t="s">
        <v>45</v>
      </c>
      <c r="C15" s="52" t="s">
        <v>44</v>
      </c>
    </row>
    <row r="16" spans="1:3" x14ac:dyDescent="0.25">
      <c r="A16" s="51">
        <v>42334.674629629626</v>
      </c>
      <c r="B16" s="52" t="s">
        <v>45</v>
      </c>
      <c r="C16" s="52" t="s">
        <v>44</v>
      </c>
    </row>
    <row r="17" spans="1:3" x14ac:dyDescent="0.25">
      <c r="A17" s="51">
        <v>42334.675034722219</v>
      </c>
      <c r="B17" s="52" t="s">
        <v>45</v>
      </c>
      <c r="C17" s="52" t="s">
        <v>44</v>
      </c>
    </row>
    <row r="18" spans="1:3" x14ac:dyDescent="0.25">
      <c r="A18" s="51">
        <v>42334.675844907404</v>
      </c>
      <c r="B18" s="52" t="s">
        <v>45</v>
      </c>
      <c r="C18" s="52" t="s">
        <v>44</v>
      </c>
    </row>
    <row r="19" spans="1:3" x14ac:dyDescent="0.25">
      <c r="A19" s="51">
        <v>42334.675983796296</v>
      </c>
      <c r="B19" s="52" t="s">
        <v>45</v>
      </c>
      <c r="C19" s="52" t="s">
        <v>44</v>
      </c>
    </row>
    <row r="20" spans="1:3" x14ac:dyDescent="0.25">
      <c r="A20" s="51">
        <v>42334.676631944443</v>
      </c>
      <c r="B20" s="52" t="s">
        <v>45</v>
      </c>
      <c r="C20" s="52" t="s">
        <v>44</v>
      </c>
    </row>
    <row r="21" spans="1:3" x14ac:dyDescent="0.25">
      <c r="A21" s="51">
        <v>42334.677129629628</v>
      </c>
      <c r="B21" s="52" t="s">
        <v>45</v>
      </c>
      <c r="C21" s="52" t="s">
        <v>44</v>
      </c>
    </row>
    <row r="22" spans="1:3" x14ac:dyDescent="0.25">
      <c r="A22" s="51">
        <v>42334.677916666667</v>
      </c>
      <c r="B22" s="52" t="s">
        <v>45</v>
      </c>
      <c r="C22" s="52" t="s">
        <v>44</v>
      </c>
    </row>
    <row r="23" spans="1:3" x14ac:dyDescent="0.25">
      <c r="A23" s="51">
        <v>42334.679444444446</v>
      </c>
      <c r="B23" s="52" t="s">
        <v>45</v>
      </c>
      <c r="C23" s="52" t="s">
        <v>44</v>
      </c>
    </row>
    <row r="24" spans="1:3" x14ac:dyDescent="0.25">
      <c r="A24" s="51">
        <v>42334.679502314815</v>
      </c>
      <c r="B24" s="52" t="s">
        <v>45</v>
      </c>
      <c r="C24" s="52" t="s">
        <v>44</v>
      </c>
    </row>
    <row r="25" spans="1:3" x14ac:dyDescent="0.25">
      <c r="A25" s="51">
        <v>42334.680312500001</v>
      </c>
      <c r="B25" s="52" t="s">
        <v>45</v>
      </c>
      <c r="C25" s="52" t="s">
        <v>44</v>
      </c>
    </row>
    <row r="26" spans="1:3" x14ac:dyDescent="0.25">
      <c r="A26" s="51">
        <v>42334.683020833334</v>
      </c>
      <c r="B26" s="52" t="s">
        <v>45</v>
      </c>
      <c r="C26" s="52" t="s">
        <v>44</v>
      </c>
    </row>
    <row r="27" spans="1:3" x14ac:dyDescent="0.25">
      <c r="A27" s="51">
        <v>42334.683159722219</v>
      </c>
      <c r="B27" s="52" t="s">
        <v>45</v>
      </c>
      <c r="C27" s="52" t="s">
        <v>44</v>
      </c>
    </row>
    <row r="28" spans="1:3" x14ac:dyDescent="0.25">
      <c r="A28" s="51">
        <v>42334.684849537036</v>
      </c>
      <c r="B28" s="52" t="s">
        <v>45</v>
      </c>
      <c r="C28" s="52" t="s">
        <v>44</v>
      </c>
    </row>
    <row r="29" spans="1:3" x14ac:dyDescent="0.25">
      <c r="A29" s="51">
        <v>42334.685162037036</v>
      </c>
      <c r="B29" s="52" t="s">
        <v>45</v>
      </c>
      <c r="C29" s="52" t="s">
        <v>44</v>
      </c>
    </row>
    <row r="30" spans="1:3" x14ac:dyDescent="0.25">
      <c r="A30" s="51">
        <v>42334.68582175926</v>
      </c>
      <c r="B30" s="52" t="s">
        <v>45</v>
      </c>
      <c r="C30" s="52" t="s">
        <v>44</v>
      </c>
    </row>
    <row r="31" spans="1:3" x14ac:dyDescent="0.25">
      <c r="A31" s="51">
        <v>42334.685925925929</v>
      </c>
      <c r="B31" s="52" t="s">
        <v>45</v>
      </c>
      <c r="C31" s="52" t="s">
        <v>44</v>
      </c>
    </row>
    <row r="32" spans="1:3" x14ac:dyDescent="0.25">
      <c r="A32" s="51">
        <v>42334.686018518521</v>
      </c>
      <c r="B32" s="52" t="s">
        <v>45</v>
      </c>
      <c r="C32" s="52" t="s">
        <v>44</v>
      </c>
    </row>
    <row r="33" spans="1:3" x14ac:dyDescent="0.25">
      <c r="A33" s="51">
        <v>42334.686377314814</v>
      </c>
      <c r="B33" s="52" t="s">
        <v>45</v>
      </c>
      <c r="C33" s="52" t="s">
        <v>44</v>
      </c>
    </row>
    <row r="34" spans="1:3" x14ac:dyDescent="0.25">
      <c r="A34" s="51">
        <v>42334.691192129627</v>
      </c>
      <c r="B34" s="52" t="s">
        <v>45</v>
      </c>
      <c r="C34" s="52" t="s">
        <v>44</v>
      </c>
    </row>
    <row r="35" spans="1:3" x14ac:dyDescent="0.25">
      <c r="A35" s="51">
        <v>42334.694826388892</v>
      </c>
      <c r="B35" s="52" t="s">
        <v>45</v>
      </c>
      <c r="C35" s="52" t="s">
        <v>44</v>
      </c>
    </row>
    <row r="36" spans="1:3" x14ac:dyDescent="0.25">
      <c r="A36" s="47">
        <v>42334.697638888887</v>
      </c>
      <c r="B36" s="48" t="s">
        <v>45</v>
      </c>
      <c r="C36" s="48" t="s">
        <v>44</v>
      </c>
    </row>
    <row r="37" spans="1:3" x14ac:dyDescent="0.25">
      <c r="A37" s="47">
        <v>42334.703113425923</v>
      </c>
      <c r="B37" s="48" t="s">
        <v>45</v>
      </c>
      <c r="C37" s="48" t="s">
        <v>44</v>
      </c>
    </row>
    <row r="38" spans="1:3" x14ac:dyDescent="0.25">
      <c r="A38" s="47">
        <v>42334.703657407408</v>
      </c>
      <c r="B38" s="48" t="s">
        <v>45</v>
      </c>
      <c r="C38" s="48" t="s">
        <v>44</v>
      </c>
    </row>
    <row r="39" spans="1:3" x14ac:dyDescent="0.25">
      <c r="A39" s="47">
        <v>42334.703888888886</v>
      </c>
      <c r="B39" s="48" t="s">
        <v>45</v>
      </c>
      <c r="C39" s="48" t="s">
        <v>44</v>
      </c>
    </row>
    <row r="40" spans="1:3" x14ac:dyDescent="0.25">
      <c r="A40" s="47">
        <v>42334.704201388886</v>
      </c>
      <c r="B40" s="48" t="s">
        <v>45</v>
      </c>
      <c r="C40" s="48" t="s">
        <v>44</v>
      </c>
    </row>
    <row r="41" spans="1:3" x14ac:dyDescent="0.25">
      <c r="A41" s="47">
        <v>42334.704224537039</v>
      </c>
      <c r="B41" s="48" t="s">
        <v>45</v>
      </c>
      <c r="C41" s="48" t="s">
        <v>44</v>
      </c>
    </row>
    <row r="42" spans="1:3" x14ac:dyDescent="0.25">
      <c r="A42" s="47">
        <v>42334.707604166666</v>
      </c>
      <c r="B42" s="48" t="s">
        <v>45</v>
      </c>
      <c r="C42" s="48" t="s">
        <v>44</v>
      </c>
    </row>
    <row r="43" spans="1:3" x14ac:dyDescent="0.25">
      <c r="A43" s="47">
        <v>42334.711678240739</v>
      </c>
      <c r="B43" s="48" t="s">
        <v>45</v>
      </c>
      <c r="C43" s="48" t="s">
        <v>44</v>
      </c>
    </row>
    <row r="44" spans="1:3" x14ac:dyDescent="0.25">
      <c r="A44" s="47">
        <v>42334.711840277778</v>
      </c>
      <c r="B44" s="48" t="s">
        <v>45</v>
      </c>
      <c r="C44" s="48" t="s">
        <v>44</v>
      </c>
    </row>
    <row r="45" spans="1:3" x14ac:dyDescent="0.25">
      <c r="A45" s="47">
        <v>42334.712476851855</v>
      </c>
      <c r="B45" s="48" t="s">
        <v>45</v>
      </c>
      <c r="C45" s="48" t="s">
        <v>44</v>
      </c>
    </row>
    <row r="46" spans="1:3" x14ac:dyDescent="0.25">
      <c r="A46" s="47">
        <v>42334.713587962964</v>
      </c>
      <c r="B46" s="48" t="s">
        <v>45</v>
      </c>
      <c r="C46" s="48" t="s">
        <v>44</v>
      </c>
    </row>
    <row r="47" spans="1:3" x14ac:dyDescent="0.25">
      <c r="A47" s="47">
        <v>42334.714016203703</v>
      </c>
      <c r="B47" s="48" t="s">
        <v>45</v>
      </c>
      <c r="C47" s="48" t="s">
        <v>44</v>
      </c>
    </row>
    <row r="48" spans="1:3" x14ac:dyDescent="0.25">
      <c r="A48" s="47">
        <v>42334.714502314811</v>
      </c>
      <c r="B48" s="48" t="s">
        <v>45</v>
      </c>
      <c r="C48" s="48" t="s">
        <v>44</v>
      </c>
    </row>
    <row r="49" spans="1:3" x14ac:dyDescent="0.25">
      <c r="A49" s="47">
        <v>42334.716111111113</v>
      </c>
      <c r="B49" s="48" t="s">
        <v>45</v>
      </c>
      <c r="C49" s="48" t="s">
        <v>44</v>
      </c>
    </row>
    <row r="50" spans="1:3" x14ac:dyDescent="0.25">
      <c r="A50" s="47">
        <v>42334.717488425929</v>
      </c>
      <c r="B50" s="48" t="s">
        <v>45</v>
      </c>
      <c r="C50" s="48" t="s">
        <v>44</v>
      </c>
    </row>
    <row r="51" spans="1:3" x14ac:dyDescent="0.25">
      <c r="A51" s="47">
        <v>42334.720821759256</v>
      </c>
      <c r="B51" s="48" t="s">
        <v>45</v>
      </c>
      <c r="C51" s="48" t="s">
        <v>44</v>
      </c>
    </row>
    <row r="52" spans="1:3" x14ac:dyDescent="0.25">
      <c r="A52" s="47">
        <v>42334.720891203702</v>
      </c>
      <c r="B52" s="48" t="s">
        <v>45</v>
      </c>
      <c r="C52" s="48" t="s">
        <v>44</v>
      </c>
    </row>
    <row r="53" spans="1:3" x14ac:dyDescent="0.25">
      <c r="A53" s="47">
        <v>42334.722881944443</v>
      </c>
      <c r="B53" s="48" t="s">
        <v>45</v>
      </c>
      <c r="C53" s="48" t="s">
        <v>44</v>
      </c>
    </row>
    <row r="54" spans="1:3" x14ac:dyDescent="0.25">
      <c r="A54" s="47">
        <v>42334.723923611113</v>
      </c>
      <c r="B54" s="48" t="s">
        <v>45</v>
      </c>
      <c r="C54" s="48" t="s">
        <v>44</v>
      </c>
    </row>
    <row r="55" spans="1:3" x14ac:dyDescent="0.25">
      <c r="A55" s="47">
        <v>42334.724629629629</v>
      </c>
      <c r="B55" s="48" t="s">
        <v>45</v>
      </c>
      <c r="C55" s="48" t="s">
        <v>44</v>
      </c>
    </row>
    <row r="56" spans="1:3" x14ac:dyDescent="0.25">
      <c r="A56" s="47">
        <v>42334.724652777775</v>
      </c>
      <c r="B56" s="48" t="s">
        <v>45</v>
      </c>
      <c r="C56" s="48" t="s">
        <v>44</v>
      </c>
    </row>
    <row r="57" spans="1:3" x14ac:dyDescent="0.25">
      <c r="A57" s="47">
        <v>42334.733206018522</v>
      </c>
      <c r="B57" s="48" t="s">
        <v>45</v>
      </c>
      <c r="C57" s="48" t="s">
        <v>44</v>
      </c>
    </row>
    <row r="58" spans="1:3" x14ac:dyDescent="0.25">
      <c r="A58" s="47">
        <v>42334.734363425923</v>
      </c>
      <c r="B58" s="48" t="s">
        <v>45</v>
      </c>
      <c r="C58" s="48" t="s">
        <v>44</v>
      </c>
    </row>
    <row r="59" spans="1:3" x14ac:dyDescent="0.25">
      <c r="A59" s="47">
        <v>42334.734456018516</v>
      </c>
      <c r="B59" s="48" t="s">
        <v>45</v>
      </c>
      <c r="C59" s="48" t="s">
        <v>44</v>
      </c>
    </row>
    <row r="60" spans="1:3" x14ac:dyDescent="0.25">
      <c r="A60" s="47">
        <v>42334.73841435185</v>
      </c>
      <c r="B60" s="48" t="s">
        <v>45</v>
      </c>
      <c r="C60" s="48" t="s">
        <v>44</v>
      </c>
    </row>
    <row r="61" spans="1:3" x14ac:dyDescent="0.25">
      <c r="A61" s="47">
        <v>42334.73883101852</v>
      </c>
      <c r="B61" s="48" t="s">
        <v>45</v>
      </c>
      <c r="C61" s="48" t="s">
        <v>44</v>
      </c>
    </row>
    <row r="62" spans="1:3" x14ac:dyDescent="0.25">
      <c r="A62" s="47">
        <v>42334.739618055559</v>
      </c>
      <c r="B62" s="48" t="s">
        <v>45</v>
      </c>
      <c r="C62" s="48" t="s">
        <v>44</v>
      </c>
    </row>
    <row r="63" spans="1:3" x14ac:dyDescent="0.25">
      <c r="A63" s="47">
        <v>42334.739745370367</v>
      </c>
      <c r="B63" s="48" t="s">
        <v>45</v>
      </c>
      <c r="C63" s="48" t="s">
        <v>44</v>
      </c>
    </row>
    <row r="64" spans="1:3" x14ac:dyDescent="0.25">
      <c r="A64" s="47">
        <v>42334.740798611114</v>
      </c>
      <c r="B64" s="48" t="s">
        <v>45</v>
      </c>
      <c r="C64" s="48" t="s">
        <v>44</v>
      </c>
    </row>
    <row r="65" spans="1:3" x14ac:dyDescent="0.25">
      <c r="A65" s="47">
        <v>42334.74863425926</v>
      </c>
      <c r="B65" s="48" t="s">
        <v>45</v>
      </c>
      <c r="C65" s="48" t="s">
        <v>44</v>
      </c>
    </row>
    <row r="66" spans="1:3" x14ac:dyDescent="0.25">
      <c r="A66" s="51">
        <v>42334.749085648145</v>
      </c>
      <c r="B66" s="52" t="s">
        <v>45</v>
      </c>
      <c r="C66" s="52" t="s">
        <v>44</v>
      </c>
    </row>
    <row r="67" spans="1:3" x14ac:dyDescent="0.25">
      <c r="A67" s="51">
        <v>42334.7575</v>
      </c>
      <c r="B67" s="52" t="s">
        <v>45</v>
      </c>
      <c r="C67" s="52" t="s">
        <v>44</v>
      </c>
    </row>
    <row r="68" spans="1:3" x14ac:dyDescent="0.25">
      <c r="A68" s="51">
        <v>42334.763831018521</v>
      </c>
      <c r="B68" s="52" t="s">
        <v>45</v>
      </c>
      <c r="C68" s="52" t="s">
        <v>44</v>
      </c>
    </row>
    <row r="69" spans="1:3" x14ac:dyDescent="0.25">
      <c r="A69" s="51">
        <v>42334.764768518522</v>
      </c>
      <c r="B69" s="52" t="s">
        <v>45</v>
      </c>
      <c r="C69" s="52" t="s">
        <v>44</v>
      </c>
    </row>
    <row r="70" spans="1:3" x14ac:dyDescent="0.25">
      <c r="A70" s="51">
        <v>42334.766712962963</v>
      </c>
      <c r="B70" s="52" t="s">
        <v>45</v>
      </c>
      <c r="C70" s="52" t="s">
        <v>44</v>
      </c>
    </row>
    <row r="71" spans="1:3" x14ac:dyDescent="0.25">
      <c r="A71" s="51">
        <v>42334.76699074074</v>
      </c>
      <c r="B71" s="52" t="s">
        <v>45</v>
      </c>
      <c r="C71" s="52" t="s">
        <v>44</v>
      </c>
    </row>
    <row r="72" spans="1:3" x14ac:dyDescent="0.25">
      <c r="A72" s="51">
        <v>42334.767997685187</v>
      </c>
      <c r="B72" s="52" t="s">
        <v>45</v>
      </c>
      <c r="C72" s="52" t="s">
        <v>44</v>
      </c>
    </row>
    <row r="73" spans="1:3" x14ac:dyDescent="0.25">
      <c r="A73" s="51">
        <v>42334.768726851849</v>
      </c>
      <c r="B73" s="52" t="s">
        <v>45</v>
      </c>
      <c r="C73" s="52" t="s">
        <v>44</v>
      </c>
    </row>
    <row r="74" spans="1:3" x14ac:dyDescent="0.25">
      <c r="A74" s="51">
        <v>42334.773229166669</v>
      </c>
      <c r="B74" s="52" t="s">
        <v>45</v>
      </c>
      <c r="C74" s="52" t="s">
        <v>44</v>
      </c>
    </row>
    <row r="75" spans="1:3" x14ac:dyDescent="0.25">
      <c r="A75" s="47">
        <v>42335.460532407407</v>
      </c>
      <c r="B75" s="48" t="s">
        <v>45</v>
      </c>
      <c r="C75" s="48" t="s">
        <v>44</v>
      </c>
    </row>
    <row r="76" spans="1:3" x14ac:dyDescent="0.25">
      <c r="A76" s="47">
        <v>42335.465046296296</v>
      </c>
      <c r="B76" s="48" t="s">
        <v>45</v>
      </c>
      <c r="C76" s="48" t="s">
        <v>44</v>
      </c>
    </row>
    <row r="77" spans="1:3" x14ac:dyDescent="0.25">
      <c r="A77" s="47">
        <v>42335.466770833336</v>
      </c>
      <c r="B77" s="48" t="s">
        <v>45</v>
      </c>
      <c r="C77" s="48" t="s">
        <v>44</v>
      </c>
    </row>
    <row r="78" spans="1:3" x14ac:dyDescent="0.25">
      <c r="A78" s="47">
        <v>42335.467442129629</v>
      </c>
      <c r="B78" s="48" t="s">
        <v>45</v>
      </c>
      <c r="C78" s="48" t="s">
        <v>44</v>
      </c>
    </row>
    <row r="79" spans="1:3" x14ac:dyDescent="0.25">
      <c r="A79" s="47">
        <v>42335.470243055555</v>
      </c>
      <c r="B79" s="48" t="s">
        <v>45</v>
      </c>
      <c r="C79" s="48" t="s">
        <v>44</v>
      </c>
    </row>
    <row r="80" spans="1:3" x14ac:dyDescent="0.25">
      <c r="A80" s="47">
        <v>42335.475555555553</v>
      </c>
      <c r="B80" s="48" t="s">
        <v>45</v>
      </c>
      <c r="C80" s="48" t="s">
        <v>44</v>
      </c>
    </row>
  </sheetData>
  <phoneticPr fontId="8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302"/>
  <sheetViews>
    <sheetView tabSelected="1" topLeftCell="B226" workbookViewId="0">
      <selection activeCell="R235" sqref="R235:T302"/>
    </sheetView>
  </sheetViews>
  <sheetFormatPr defaultColWidth="9" defaultRowHeight="13.2" x14ac:dyDescent="0.25"/>
  <cols>
    <col min="1" max="1" width="13.109375" customWidth="1"/>
  </cols>
  <sheetData>
    <row r="1" spans="1:21" ht="17.399999999999999" x14ac:dyDescent="0.3">
      <c r="A1" s="39" t="s">
        <v>44</v>
      </c>
    </row>
    <row r="2" spans="1:21" ht="21" x14ac:dyDescent="0.4">
      <c r="A2" s="1" t="s">
        <v>40</v>
      </c>
    </row>
    <row r="3" spans="1:21" ht="13.8" thickBot="1" x14ac:dyDescent="0.3"/>
    <row r="4" spans="1:21" ht="16.2" thickBot="1" x14ac:dyDescent="0.35">
      <c r="A4" s="24"/>
      <c r="B4" s="10"/>
      <c r="C4" s="10"/>
      <c r="D4" s="27" t="s">
        <v>20</v>
      </c>
      <c r="E4" s="10"/>
      <c r="F4" s="10"/>
      <c r="G4" s="11"/>
      <c r="S4" t="s">
        <v>33</v>
      </c>
    </row>
    <row r="5" spans="1:21" ht="13.8" thickTop="1" x14ac:dyDescent="0.25">
      <c r="A5" s="25"/>
      <c r="B5" s="4"/>
      <c r="C5" s="4"/>
      <c r="D5" s="4"/>
      <c r="E5" s="4"/>
      <c r="F5" s="4"/>
      <c r="G5" s="7"/>
      <c r="S5" s="34" t="s">
        <v>3</v>
      </c>
      <c r="T5" s="35">
        <f>VLOOKUP(S5, $A$25:$E$57, 3)</f>
        <v>0</v>
      </c>
      <c r="U5" s="36">
        <f>VLOOKUP(S5, $A$25:$E$57,  2)</f>
        <v>0</v>
      </c>
    </row>
    <row r="6" spans="1:21" x14ac:dyDescent="0.25">
      <c r="A6" s="6"/>
      <c r="B6" s="4"/>
      <c r="C6" s="4"/>
      <c r="D6" s="4" t="s">
        <v>18</v>
      </c>
      <c r="E6" s="4"/>
      <c r="F6" s="4"/>
      <c r="G6" s="7"/>
      <c r="S6" s="37" t="s">
        <v>25</v>
      </c>
      <c r="T6" s="4">
        <f t="shared" ref="T6:T68" si="0">VLOOKUP(S6, $A$25:$E$57, 3)</f>
        <v>0</v>
      </c>
      <c r="U6" s="38">
        <f t="shared" ref="U6:U65" si="1">VLOOKUP(S6, $A$25:$E$57,  2)</f>
        <v>440</v>
      </c>
    </row>
    <row r="7" spans="1:21" x14ac:dyDescent="0.25">
      <c r="A7" s="17"/>
      <c r="B7" s="13"/>
      <c r="C7" s="4"/>
      <c r="D7" s="13" t="s">
        <v>16</v>
      </c>
      <c r="E7" s="18" t="s">
        <v>17</v>
      </c>
      <c r="F7" s="13" t="s">
        <v>2</v>
      </c>
      <c r="G7" s="7"/>
      <c r="S7" s="37" t="s">
        <v>26</v>
      </c>
      <c r="T7" s="4">
        <f t="shared" si="0"/>
        <v>324</v>
      </c>
      <c r="U7" s="38">
        <f t="shared" si="1"/>
        <v>440</v>
      </c>
    </row>
    <row r="8" spans="1:21" x14ac:dyDescent="0.25">
      <c r="A8" s="17"/>
      <c r="B8" s="13"/>
      <c r="C8" s="4"/>
      <c r="D8" s="13">
        <f>3*MAX(B32,C32)</f>
        <v>2430</v>
      </c>
      <c r="E8" s="21">
        <v>1</v>
      </c>
      <c r="F8" s="13">
        <f>8*D32</f>
        <v>7680</v>
      </c>
      <c r="G8" s="7"/>
      <c r="S8" s="37" t="s">
        <v>0</v>
      </c>
      <c r="T8" s="4">
        <f t="shared" si="0"/>
        <v>324</v>
      </c>
      <c r="U8" s="38">
        <f t="shared" si="1"/>
        <v>308</v>
      </c>
    </row>
    <row r="9" spans="1:21" x14ac:dyDescent="0.25">
      <c r="A9" s="17"/>
      <c r="B9" s="13"/>
      <c r="C9" s="4"/>
      <c r="D9" s="19"/>
      <c r="E9" s="13"/>
      <c r="F9" s="4"/>
      <c r="G9" s="7"/>
      <c r="S9" s="37" t="s">
        <v>22</v>
      </c>
      <c r="T9" s="4">
        <f t="shared" si="0"/>
        <v>810</v>
      </c>
      <c r="U9" s="38">
        <f t="shared" si="1"/>
        <v>308</v>
      </c>
    </row>
    <row r="10" spans="1:21" x14ac:dyDescent="0.25">
      <c r="A10" s="17"/>
      <c r="B10" s="20"/>
      <c r="C10" s="4"/>
      <c r="D10" s="4" t="s">
        <v>19</v>
      </c>
      <c r="E10" s="4"/>
      <c r="F10" s="4"/>
      <c r="G10" s="7"/>
      <c r="S10" s="37" t="s">
        <v>21</v>
      </c>
      <c r="T10" s="4">
        <f t="shared" si="0"/>
        <v>810</v>
      </c>
      <c r="U10" s="38">
        <f t="shared" si="1"/>
        <v>0</v>
      </c>
    </row>
    <row r="11" spans="1:21" x14ac:dyDescent="0.25">
      <c r="A11" s="17"/>
      <c r="B11" s="4"/>
      <c r="C11" s="4"/>
      <c r="D11" s="13" t="s">
        <v>0</v>
      </c>
      <c r="E11" s="13" t="s">
        <v>1</v>
      </c>
      <c r="F11" s="13" t="s">
        <v>2</v>
      </c>
      <c r="G11" s="7"/>
      <c r="S11" s="37" t="s">
        <v>3</v>
      </c>
      <c r="T11" s="4">
        <f t="shared" si="0"/>
        <v>0</v>
      </c>
      <c r="U11" s="38">
        <f t="shared" si="1"/>
        <v>0</v>
      </c>
    </row>
    <row r="12" spans="1:21" ht="13.8" thickBot="1" x14ac:dyDescent="0.3">
      <c r="A12" s="26"/>
      <c r="B12" s="8"/>
      <c r="C12" s="8"/>
      <c r="D12" s="15">
        <f>D8*COS(E8)</f>
        <v>1312.9346032595797</v>
      </c>
      <c r="E12" s="15">
        <f>D8*SIN(E8)</f>
        <v>2044.7744930831884</v>
      </c>
      <c r="F12" s="15">
        <f>F8</f>
        <v>7680</v>
      </c>
      <c r="G12" s="9"/>
      <c r="S12" s="37"/>
      <c r="T12" s="4"/>
      <c r="U12" s="38"/>
    </row>
    <row r="13" spans="1:21" x14ac:dyDescent="0.25">
      <c r="A13" s="4"/>
      <c r="B13" s="19"/>
      <c r="C13" s="4"/>
      <c r="D13" s="19"/>
      <c r="E13" s="4"/>
      <c r="F13" s="4"/>
      <c r="G13" s="4"/>
      <c r="S13" s="37" t="s">
        <v>16</v>
      </c>
      <c r="T13" s="4">
        <f t="shared" si="0"/>
        <v>0</v>
      </c>
      <c r="U13" s="38">
        <f t="shared" si="1"/>
        <v>88</v>
      </c>
    </row>
    <row r="14" spans="1:21" x14ac:dyDescent="0.25">
      <c r="B14" s="3"/>
      <c r="D14" s="3"/>
      <c r="S14" s="37" t="s">
        <v>24</v>
      </c>
      <c r="T14" s="4">
        <f t="shared" si="0"/>
        <v>0</v>
      </c>
      <c r="U14" s="38">
        <f t="shared" si="1"/>
        <v>440</v>
      </c>
    </row>
    <row r="15" spans="1:21" x14ac:dyDescent="0.25">
      <c r="B15" s="3"/>
      <c r="D15" s="3"/>
      <c r="S15" s="37" t="s">
        <v>27</v>
      </c>
      <c r="T15" s="4">
        <f t="shared" si="0"/>
        <v>324</v>
      </c>
      <c r="U15" s="38">
        <f t="shared" si="1"/>
        <v>440</v>
      </c>
    </row>
    <row r="16" spans="1:21" x14ac:dyDescent="0.25">
      <c r="B16" s="3"/>
      <c r="D16" s="3"/>
      <c r="S16" s="37" t="s">
        <v>28</v>
      </c>
      <c r="T16" s="4">
        <f t="shared" si="0"/>
        <v>324</v>
      </c>
      <c r="U16" s="38">
        <f t="shared" si="1"/>
        <v>308</v>
      </c>
    </row>
    <row r="17" spans="1:21" ht="14.4" customHeight="1" x14ac:dyDescent="0.25">
      <c r="D17" s="3"/>
      <c r="S17" s="37" t="s">
        <v>23</v>
      </c>
      <c r="T17" s="4">
        <f t="shared" si="0"/>
        <v>810</v>
      </c>
      <c r="U17" s="38">
        <f t="shared" si="1"/>
        <v>308</v>
      </c>
    </row>
    <row r="18" spans="1:21" x14ac:dyDescent="0.25">
      <c r="S18" s="37" t="s">
        <v>17</v>
      </c>
      <c r="T18" s="4">
        <f t="shared" si="0"/>
        <v>810</v>
      </c>
      <c r="U18" s="38">
        <f t="shared" si="1"/>
        <v>88</v>
      </c>
    </row>
    <row r="19" spans="1:21" x14ac:dyDescent="0.25">
      <c r="S19" s="37" t="s">
        <v>16</v>
      </c>
      <c r="T19" s="4">
        <f t="shared" si="0"/>
        <v>0</v>
      </c>
      <c r="U19" s="38">
        <f t="shared" si="1"/>
        <v>88</v>
      </c>
    </row>
    <row r="20" spans="1:21" x14ac:dyDescent="0.25">
      <c r="S20" s="37"/>
      <c r="T20" s="4"/>
      <c r="U20" s="38"/>
    </row>
    <row r="21" spans="1:21" x14ac:dyDescent="0.25">
      <c r="S21" s="37" t="s">
        <v>6</v>
      </c>
      <c r="T21" s="4">
        <f t="shared" si="0"/>
        <v>0</v>
      </c>
      <c r="U21" s="38">
        <f t="shared" si="1"/>
        <v>0</v>
      </c>
    </row>
    <row r="22" spans="1:21" x14ac:dyDescent="0.25">
      <c r="S22" s="37" t="s">
        <v>7</v>
      </c>
      <c r="T22" s="4">
        <f t="shared" si="0"/>
        <v>0</v>
      </c>
      <c r="U22" s="38">
        <f t="shared" si="1"/>
        <v>88</v>
      </c>
    </row>
    <row r="23" spans="1:21" x14ac:dyDescent="0.25">
      <c r="A23" t="s">
        <v>35</v>
      </c>
      <c r="C23" s="2"/>
      <c r="S23" s="37" t="s">
        <v>8</v>
      </c>
      <c r="T23" s="4">
        <f t="shared" si="0"/>
        <v>243</v>
      </c>
      <c r="U23" s="38">
        <f t="shared" si="1"/>
        <v>88</v>
      </c>
    </row>
    <row r="24" spans="1:21" ht="13.8" thickBot="1" x14ac:dyDescent="0.3">
      <c r="B24" s="5" t="s">
        <v>0</v>
      </c>
      <c r="C24" s="5" t="s">
        <v>1</v>
      </c>
      <c r="D24" s="5" t="s">
        <v>2</v>
      </c>
      <c r="E24" s="5" t="s">
        <v>4</v>
      </c>
      <c r="S24" s="37" t="s">
        <v>10</v>
      </c>
      <c r="T24" s="4">
        <f t="shared" si="0"/>
        <v>243</v>
      </c>
      <c r="U24" s="38">
        <f t="shared" si="1"/>
        <v>0</v>
      </c>
    </row>
    <row r="25" spans="1:21" x14ac:dyDescent="0.25">
      <c r="A25" s="22" t="s">
        <v>3</v>
      </c>
      <c r="B25" s="30">
        <v>0</v>
      </c>
      <c r="C25" s="31">
        <v>0</v>
      </c>
      <c r="D25" s="31">
        <v>0</v>
      </c>
      <c r="E25" s="32">
        <v>1</v>
      </c>
      <c r="S25" s="37" t="s">
        <v>6</v>
      </c>
      <c r="T25" s="4">
        <f t="shared" si="0"/>
        <v>0</v>
      </c>
      <c r="U25" s="38">
        <f t="shared" si="1"/>
        <v>0</v>
      </c>
    </row>
    <row r="26" spans="1:21" x14ac:dyDescent="0.25">
      <c r="A26" s="23" t="s">
        <v>30</v>
      </c>
      <c r="B26">
        <f>0.35*B32</f>
        <v>154</v>
      </c>
      <c r="C26">
        <f>0.3*C32</f>
        <v>243</v>
      </c>
      <c r="D26">
        <f>D32</f>
        <v>960</v>
      </c>
      <c r="E26" s="14">
        <v>1</v>
      </c>
      <c r="S26" s="37"/>
      <c r="T26" s="4"/>
      <c r="U26" s="38"/>
    </row>
    <row r="27" spans="1:21" x14ac:dyDescent="0.25">
      <c r="A27" s="23" t="s">
        <v>31</v>
      </c>
      <c r="B27">
        <f>0.95*B32</f>
        <v>418</v>
      </c>
      <c r="C27">
        <f>C26</f>
        <v>243</v>
      </c>
      <c r="D27">
        <f>D26</f>
        <v>960</v>
      </c>
      <c r="E27" s="14">
        <v>1</v>
      </c>
      <c r="S27" s="37" t="s">
        <v>13</v>
      </c>
      <c r="T27" s="4">
        <f t="shared" si="0"/>
        <v>567</v>
      </c>
      <c r="U27" s="38">
        <f t="shared" si="1"/>
        <v>88</v>
      </c>
    </row>
    <row r="28" spans="1:21" x14ac:dyDescent="0.25">
      <c r="A28" s="23" t="s">
        <v>32</v>
      </c>
      <c r="B28">
        <f>0.6*B32</f>
        <v>264</v>
      </c>
      <c r="C28">
        <f>0.5*C32</f>
        <v>405</v>
      </c>
      <c r="D28">
        <f>D32</f>
        <v>960</v>
      </c>
      <c r="E28" s="14">
        <v>1</v>
      </c>
      <c r="S28" s="37" t="s">
        <v>14</v>
      </c>
      <c r="T28" s="4">
        <f t="shared" si="0"/>
        <v>810</v>
      </c>
      <c r="U28" s="38">
        <f t="shared" si="1"/>
        <v>88</v>
      </c>
    </row>
    <row r="29" spans="1:21" x14ac:dyDescent="0.25">
      <c r="A29" s="23" t="s">
        <v>34</v>
      </c>
      <c r="B29">
        <f>0.2*B32</f>
        <v>88</v>
      </c>
      <c r="C29">
        <f>0.35*C32</f>
        <v>283.5</v>
      </c>
      <c r="D29">
        <f>4.5*D32</f>
        <v>4320</v>
      </c>
      <c r="E29" s="14">
        <v>1</v>
      </c>
      <c r="S29" s="37" t="s">
        <v>15</v>
      </c>
      <c r="T29" s="4">
        <f t="shared" si="0"/>
        <v>810</v>
      </c>
      <c r="U29" s="38">
        <f t="shared" si="1"/>
        <v>0</v>
      </c>
    </row>
    <row r="30" spans="1:21" x14ac:dyDescent="0.25">
      <c r="A30" s="23" t="s">
        <v>37</v>
      </c>
      <c r="B30">
        <f>B29</f>
        <v>88</v>
      </c>
      <c r="C30">
        <f>0.5*C32</f>
        <v>405</v>
      </c>
      <c r="D30">
        <f>2.5*D32</f>
        <v>2400</v>
      </c>
      <c r="E30" s="14">
        <v>1</v>
      </c>
      <c r="S30" s="37" t="s">
        <v>4</v>
      </c>
      <c r="T30" s="4">
        <f t="shared" si="0"/>
        <v>567</v>
      </c>
      <c r="U30" s="38">
        <f t="shared" si="1"/>
        <v>0</v>
      </c>
    </row>
    <row r="31" spans="1:21" x14ac:dyDescent="0.25">
      <c r="A31" s="23" t="s">
        <v>38</v>
      </c>
      <c r="B31">
        <f>B29</f>
        <v>88</v>
      </c>
      <c r="C31">
        <f>0.65*C32</f>
        <v>526.5</v>
      </c>
      <c r="D31">
        <f>3*D32</f>
        <v>2880</v>
      </c>
      <c r="E31" s="14">
        <v>1</v>
      </c>
      <c r="S31" s="37" t="s">
        <v>13</v>
      </c>
      <c r="T31" s="4">
        <f t="shared" si="0"/>
        <v>567</v>
      </c>
      <c r="U31" s="38">
        <f t="shared" si="1"/>
        <v>88</v>
      </c>
    </row>
    <row r="32" spans="1:21" x14ac:dyDescent="0.25">
      <c r="A32" s="23" t="s">
        <v>39</v>
      </c>
      <c r="B32" s="33">
        <f>A63*110</f>
        <v>440</v>
      </c>
      <c r="C32" s="33">
        <f>A61*90</f>
        <v>810</v>
      </c>
      <c r="D32" s="33">
        <f>A62*120</f>
        <v>960</v>
      </c>
      <c r="E32" s="14">
        <v>1</v>
      </c>
      <c r="S32" s="37"/>
      <c r="T32" s="4"/>
      <c r="U32" s="38"/>
    </row>
    <row r="33" spans="1:21" x14ac:dyDescent="0.25">
      <c r="A33" s="23" t="s">
        <v>6</v>
      </c>
      <c r="B33">
        <v>0</v>
      </c>
      <c r="C33">
        <v>0</v>
      </c>
      <c r="D33">
        <f>3*D32</f>
        <v>2880</v>
      </c>
      <c r="E33" s="29">
        <v>1</v>
      </c>
      <c r="S33" s="37" t="s">
        <v>12</v>
      </c>
      <c r="T33" s="4">
        <f t="shared" si="0"/>
        <v>567</v>
      </c>
      <c r="U33" s="38">
        <f t="shared" si="1"/>
        <v>88</v>
      </c>
    </row>
    <row r="34" spans="1:21" x14ac:dyDescent="0.25">
      <c r="A34" s="23" t="s">
        <v>7</v>
      </c>
      <c r="B34">
        <f>0.2*B32</f>
        <v>88</v>
      </c>
      <c r="C34">
        <v>0</v>
      </c>
      <c r="D34">
        <f>3*D32</f>
        <v>2880</v>
      </c>
      <c r="E34" s="29">
        <v>1</v>
      </c>
      <c r="S34" s="37" t="s">
        <v>29</v>
      </c>
      <c r="T34" s="4">
        <f t="shared" si="0"/>
        <v>567</v>
      </c>
      <c r="U34" s="38">
        <f t="shared" si="1"/>
        <v>0</v>
      </c>
    </row>
    <row r="35" spans="1:21" x14ac:dyDescent="0.25">
      <c r="A35" s="23" t="s">
        <v>8</v>
      </c>
      <c r="B35">
        <f>0.2*B32</f>
        <v>88</v>
      </c>
      <c r="C35">
        <f>0.3*C32</f>
        <v>243</v>
      </c>
      <c r="D35">
        <f>3*D32</f>
        <v>2880</v>
      </c>
      <c r="E35" s="29">
        <v>1</v>
      </c>
      <c r="S35" s="37" t="s">
        <v>9</v>
      </c>
      <c r="T35" s="4">
        <f t="shared" si="0"/>
        <v>243</v>
      </c>
      <c r="U35" s="38">
        <f t="shared" si="1"/>
        <v>0</v>
      </c>
    </row>
    <row r="36" spans="1:21" x14ac:dyDescent="0.25">
      <c r="A36" s="23" t="s">
        <v>5</v>
      </c>
      <c r="B36">
        <f>0.2*B32</f>
        <v>88</v>
      </c>
      <c r="C36">
        <f>0.3*C32</f>
        <v>243</v>
      </c>
      <c r="D36">
        <f>5*D32</f>
        <v>4800</v>
      </c>
      <c r="E36" s="29">
        <v>1</v>
      </c>
      <c r="S36" s="37" t="s">
        <v>5</v>
      </c>
      <c r="T36" s="4">
        <f t="shared" si="0"/>
        <v>243</v>
      </c>
      <c r="U36" s="38">
        <f t="shared" si="1"/>
        <v>88</v>
      </c>
    </row>
    <row r="37" spans="1:21" x14ac:dyDescent="0.25">
      <c r="A37" s="23" t="s">
        <v>9</v>
      </c>
      <c r="B37">
        <v>0</v>
      </c>
      <c r="C37">
        <f>0.3*C32</f>
        <v>243</v>
      </c>
      <c r="D37">
        <f>5*D32</f>
        <v>4800</v>
      </c>
      <c r="E37" s="29">
        <v>1</v>
      </c>
      <c r="S37" s="37" t="s">
        <v>12</v>
      </c>
      <c r="T37" s="4">
        <f t="shared" si="0"/>
        <v>567</v>
      </c>
      <c r="U37" s="38">
        <f t="shared" si="1"/>
        <v>88</v>
      </c>
    </row>
    <row r="38" spans="1:21" x14ac:dyDescent="0.25">
      <c r="A38" s="23" t="s">
        <v>10</v>
      </c>
      <c r="B38">
        <v>0</v>
      </c>
      <c r="C38">
        <f>0.3*C32</f>
        <v>243</v>
      </c>
      <c r="D38">
        <f>3*D32</f>
        <v>2880</v>
      </c>
      <c r="E38" s="40">
        <v>1</v>
      </c>
      <c r="S38" s="37"/>
      <c r="T38" s="4"/>
      <c r="U38" s="38"/>
    </row>
    <row r="39" spans="1:21" x14ac:dyDescent="0.25">
      <c r="A39" s="23" t="s">
        <v>4</v>
      </c>
      <c r="B39">
        <v>0</v>
      </c>
      <c r="C39">
        <f>0.7*C32</f>
        <v>567</v>
      </c>
      <c r="D39">
        <f>3*D32</f>
        <v>2880</v>
      </c>
      <c r="E39" s="29">
        <v>1</v>
      </c>
      <c r="S39" s="37" t="s">
        <v>6</v>
      </c>
      <c r="T39" s="4">
        <f t="shared" si="0"/>
        <v>0</v>
      </c>
      <c r="U39" s="38">
        <f t="shared" si="1"/>
        <v>0</v>
      </c>
    </row>
    <row r="40" spans="1:21" x14ac:dyDescent="0.25">
      <c r="A40" s="23" t="s">
        <v>11</v>
      </c>
      <c r="B40">
        <v>0</v>
      </c>
      <c r="C40">
        <f>0.7*C32</f>
        <v>567</v>
      </c>
      <c r="D40">
        <f>5*D32</f>
        <v>4800</v>
      </c>
      <c r="E40" s="14">
        <v>1</v>
      </c>
      <c r="S40" s="37" t="s">
        <v>3</v>
      </c>
      <c r="T40" s="4">
        <f t="shared" si="0"/>
        <v>0</v>
      </c>
      <c r="U40" s="38">
        <f t="shared" si="1"/>
        <v>0</v>
      </c>
    </row>
    <row r="41" spans="1:21" x14ac:dyDescent="0.25">
      <c r="A41" s="23" t="s">
        <v>12</v>
      </c>
      <c r="B41">
        <f>0.2*B32</f>
        <v>88</v>
      </c>
      <c r="C41">
        <f>0.7*C32</f>
        <v>567</v>
      </c>
      <c r="D41">
        <f>5*D32</f>
        <v>4800</v>
      </c>
      <c r="E41" s="14">
        <v>1</v>
      </c>
      <c r="S41" s="37" t="s">
        <v>21</v>
      </c>
      <c r="T41" s="4">
        <f t="shared" si="0"/>
        <v>810</v>
      </c>
      <c r="U41" s="38">
        <f t="shared" si="1"/>
        <v>0</v>
      </c>
    </row>
    <row r="42" spans="1:21" x14ac:dyDescent="0.25">
      <c r="A42" s="23" t="s">
        <v>13</v>
      </c>
      <c r="B42">
        <f>0.2*B32</f>
        <v>88</v>
      </c>
      <c r="C42">
        <f>0.7*C32</f>
        <v>567</v>
      </c>
      <c r="D42">
        <f>3*D32</f>
        <v>2880</v>
      </c>
      <c r="E42" s="14">
        <v>1</v>
      </c>
      <c r="S42" s="37" t="s">
        <v>15</v>
      </c>
      <c r="T42" s="4">
        <f t="shared" si="0"/>
        <v>810</v>
      </c>
      <c r="U42" s="38">
        <f t="shared" si="1"/>
        <v>0</v>
      </c>
    </row>
    <row r="43" spans="1:21" x14ac:dyDescent="0.25">
      <c r="A43" s="23" t="s">
        <v>14</v>
      </c>
      <c r="B43">
        <f>0.2*B32</f>
        <v>88</v>
      </c>
      <c r="C43">
        <f>C32</f>
        <v>810</v>
      </c>
      <c r="D43">
        <f>3*D32</f>
        <v>2880</v>
      </c>
      <c r="E43" s="14">
        <v>1</v>
      </c>
      <c r="S43" s="37" t="s">
        <v>4</v>
      </c>
      <c r="T43" s="4">
        <f t="shared" si="0"/>
        <v>567</v>
      </c>
      <c r="U43" s="38">
        <f t="shared" si="1"/>
        <v>0</v>
      </c>
    </row>
    <row r="44" spans="1:21" x14ac:dyDescent="0.25">
      <c r="A44" s="12" t="s">
        <v>15</v>
      </c>
      <c r="B44" s="6">
        <v>0</v>
      </c>
      <c r="C44">
        <f>C32</f>
        <v>810</v>
      </c>
      <c r="D44">
        <f>3*D32</f>
        <v>2880</v>
      </c>
      <c r="E44" s="14">
        <v>1</v>
      </c>
      <c r="S44" s="37" t="s">
        <v>29</v>
      </c>
      <c r="T44" s="4">
        <f t="shared" si="0"/>
        <v>567</v>
      </c>
      <c r="U44" s="38">
        <f t="shared" si="1"/>
        <v>0</v>
      </c>
    </row>
    <row r="45" spans="1:21" x14ac:dyDescent="0.25">
      <c r="A45" s="13" t="s">
        <v>21</v>
      </c>
      <c r="B45" s="6">
        <v>0</v>
      </c>
      <c r="C45">
        <f>C32</f>
        <v>810</v>
      </c>
      <c r="D45">
        <v>0</v>
      </c>
      <c r="E45" s="14">
        <v>1</v>
      </c>
      <c r="S45" s="37" t="s">
        <v>9</v>
      </c>
      <c r="T45" s="4">
        <f t="shared" si="0"/>
        <v>243</v>
      </c>
      <c r="U45" s="38">
        <f t="shared" si="1"/>
        <v>0</v>
      </c>
    </row>
    <row r="46" spans="1:21" x14ac:dyDescent="0.25">
      <c r="A46" s="13" t="s">
        <v>22</v>
      </c>
      <c r="B46" s="6">
        <f>0.7*B32</f>
        <v>308</v>
      </c>
      <c r="C46">
        <f>C32</f>
        <v>810</v>
      </c>
      <c r="D46">
        <v>0</v>
      </c>
      <c r="E46" s="14">
        <v>1</v>
      </c>
      <c r="S46" s="37" t="s">
        <v>10</v>
      </c>
      <c r="T46" s="4">
        <f t="shared" si="0"/>
        <v>243</v>
      </c>
      <c r="U46" s="38">
        <f t="shared" si="1"/>
        <v>0</v>
      </c>
    </row>
    <row r="47" spans="1:21" x14ac:dyDescent="0.25">
      <c r="A47" s="13" t="s">
        <v>23</v>
      </c>
      <c r="B47" s="6">
        <f>0.7*B32</f>
        <v>308</v>
      </c>
      <c r="C47">
        <f>C32</f>
        <v>810</v>
      </c>
      <c r="D47">
        <f>D32</f>
        <v>960</v>
      </c>
      <c r="E47" s="14">
        <v>1</v>
      </c>
      <c r="S47" s="37" t="s">
        <v>6</v>
      </c>
      <c r="T47" s="4">
        <f t="shared" si="0"/>
        <v>0</v>
      </c>
      <c r="U47" s="38">
        <f t="shared" si="1"/>
        <v>0</v>
      </c>
    </row>
    <row r="48" spans="1:21" x14ac:dyDescent="0.25">
      <c r="A48" s="13" t="s">
        <v>17</v>
      </c>
      <c r="B48" s="6">
        <f>0.2*B32</f>
        <v>88</v>
      </c>
      <c r="C48">
        <f>C32</f>
        <v>810</v>
      </c>
      <c r="D48">
        <f>D32</f>
        <v>960</v>
      </c>
      <c r="E48" s="14">
        <v>1</v>
      </c>
      <c r="S48" s="37"/>
      <c r="T48" s="4"/>
      <c r="U48" s="38"/>
    </row>
    <row r="49" spans="1:21" x14ac:dyDescent="0.25">
      <c r="A49" s="13" t="s">
        <v>16</v>
      </c>
      <c r="B49" s="6">
        <f>0.2*B32</f>
        <v>88</v>
      </c>
      <c r="C49">
        <v>0</v>
      </c>
      <c r="D49">
        <f>D32</f>
        <v>960</v>
      </c>
      <c r="E49" s="14">
        <v>1</v>
      </c>
      <c r="S49" s="37" t="s">
        <v>7</v>
      </c>
      <c r="T49" s="4">
        <f t="shared" si="0"/>
        <v>0</v>
      </c>
      <c r="U49" s="38">
        <f t="shared" si="1"/>
        <v>88</v>
      </c>
    </row>
    <row r="50" spans="1:21" x14ac:dyDescent="0.25">
      <c r="A50" s="13" t="s">
        <v>24</v>
      </c>
      <c r="B50" s="6">
        <f>B32</f>
        <v>440</v>
      </c>
      <c r="C50">
        <v>0</v>
      </c>
      <c r="D50">
        <f>D32</f>
        <v>960</v>
      </c>
      <c r="E50" s="14">
        <v>1</v>
      </c>
      <c r="S50" s="37" t="s">
        <v>16</v>
      </c>
      <c r="T50" s="4">
        <f t="shared" si="0"/>
        <v>0</v>
      </c>
      <c r="U50" s="38">
        <f t="shared" si="1"/>
        <v>88</v>
      </c>
    </row>
    <row r="51" spans="1:21" x14ac:dyDescent="0.25">
      <c r="A51" s="13" t="s">
        <v>25</v>
      </c>
      <c r="B51" s="6">
        <f>B32</f>
        <v>440</v>
      </c>
      <c r="C51">
        <v>0</v>
      </c>
      <c r="D51">
        <v>0</v>
      </c>
      <c r="E51" s="14">
        <v>1</v>
      </c>
      <c r="S51" s="37" t="s">
        <v>17</v>
      </c>
      <c r="T51" s="4">
        <f t="shared" si="0"/>
        <v>810</v>
      </c>
      <c r="U51" s="38">
        <f t="shared" si="1"/>
        <v>88</v>
      </c>
    </row>
    <row r="52" spans="1:21" x14ac:dyDescent="0.25">
      <c r="A52" s="13" t="s">
        <v>26</v>
      </c>
      <c r="B52" s="6">
        <f>B32</f>
        <v>440</v>
      </c>
      <c r="C52">
        <f>0.4*C32</f>
        <v>324</v>
      </c>
      <c r="D52">
        <v>0</v>
      </c>
      <c r="E52" s="14">
        <v>1</v>
      </c>
      <c r="S52" s="37" t="s">
        <v>14</v>
      </c>
      <c r="T52" s="4">
        <f t="shared" si="0"/>
        <v>810</v>
      </c>
      <c r="U52" s="38">
        <f t="shared" si="1"/>
        <v>88</v>
      </c>
    </row>
    <row r="53" spans="1:21" x14ac:dyDescent="0.25">
      <c r="A53" s="13" t="s">
        <v>27</v>
      </c>
      <c r="B53" s="6">
        <f>B32</f>
        <v>440</v>
      </c>
      <c r="C53">
        <f>0.4*C32</f>
        <v>324</v>
      </c>
      <c r="D53">
        <f>D32</f>
        <v>960</v>
      </c>
      <c r="E53" s="14">
        <v>1</v>
      </c>
      <c r="S53" s="37" t="s">
        <v>13</v>
      </c>
      <c r="T53" s="4">
        <f t="shared" si="0"/>
        <v>567</v>
      </c>
      <c r="U53" s="38">
        <f t="shared" si="1"/>
        <v>88</v>
      </c>
    </row>
    <row r="54" spans="1:21" x14ac:dyDescent="0.25">
      <c r="A54" s="13" t="s">
        <v>28</v>
      </c>
      <c r="B54" s="6">
        <f>0.7*B32</f>
        <v>308</v>
      </c>
      <c r="C54">
        <f>0.4*C32</f>
        <v>324</v>
      </c>
      <c r="D54">
        <f>D32</f>
        <v>960</v>
      </c>
      <c r="E54" s="14">
        <v>1</v>
      </c>
      <c r="S54" s="37" t="s">
        <v>12</v>
      </c>
      <c r="T54" s="4">
        <f t="shared" si="0"/>
        <v>567</v>
      </c>
      <c r="U54" s="38">
        <f t="shared" si="1"/>
        <v>88</v>
      </c>
    </row>
    <row r="55" spans="1:21" x14ac:dyDescent="0.25">
      <c r="A55" s="14" t="s">
        <v>0</v>
      </c>
      <c r="B55">
        <f>0.7*B32</f>
        <v>308</v>
      </c>
      <c r="C55">
        <f>0.4*C32</f>
        <v>324</v>
      </c>
      <c r="D55">
        <v>0</v>
      </c>
      <c r="E55" s="14">
        <v>1</v>
      </c>
      <c r="S55" s="37" t="s">
        <v>5</v>
      </c>
      <c r="T55" s="4">
        <f t="shared" si="0"/>
        <v>243</v>
      </c>
      <c r="U55" s="38">
        <f t="shared" si="1"/>
        <v>88</v>
      </c>
    </row>
    <row r="56" spans="1:21" x14ac:dyDescent="0.25">
      <c r="A56" s="14" t="s">
        <v>1</v>
      </c>
      <c r="B56">
        <f>0.25*B32</f>
        <v>110</v>
      </c>
      <c r="C56">
        <f>0.15*C32</f>
        <v>121.5</v>
      </c>
      <c r="D56">
        <f>D32</f>
        <v>960</v>
      </c>
      <c r="E56" s="14">
        <v>1</v>
      </c>
      <c r="S56" s="37" t="s">
        <v>8</v>
      </c>
      <c r="T56" s="4">
        <f t="shared" si="0"/>
        <v>243</v>
      </c>
      <c r="U56" s="38">
        <f t="shared" si="1"/>
        <v>88</v>
      </c>
    </row>
    <row r="57" spans="1:21" ht="13.8" thickBot="1" x14ac:dyDescent="0.3">
      <c r="A57" s="16" t="s">
        <v>2</v>
      </c>
      <c r="B57" s="28">
        <f>0.6*B32</f>
        <v>264</v>
      </c>
      <c r="C57" s="8">
        <f>0.15*C32</f>
        <v>121.5</v>
      </c>
      <c r="D57" s="8">
        <f>D32</f>
        <v>960</v>
      </c>
      <c r="E57" s="16">
        <v>1</v>
      </c>
      <c r="S57" s="37" t="s">
        <v>7</v>
      </c>
      <c r="T57" s="4">
        <f t="shared" si="0"/>
        <v>0</v>
      </c>
      <c r="U57" s="38">
        <f t="shared" si="1"/>
        <v>88</v>
      </c>
    </row>
    <row r="58" spans="1:21" x14ac:dyDescent="0.25">
      <c r="A58" s="5"/>
      <c r="S58" s="37"/>
      <c r="T58" s="4"/>
      <c r="U58" s="38"/>
    </row>
    <row r="59" spans="1:21" x14ac:dyDescent="0.25">
      <c r="A59" s="41"/>
      <c r="S59" s="37" t="s">
        <v>28</v>
      </c>
      <c r="T59" s="4">
        <f t="shared" si="0"/>
        <v>324</v>
      </c>
      <c r="U59" s="38">
        <f t="shared" si="1"/>
        <v>308</v>
      </c>
    </row>
    <row r="60" spans="1:21" x14ac:dyDescent="0.25">
      <c r="A60" s="42" t="s">
        <v>46</v>
      </c>
      <c r="C60" s="53"/>
      <c r="S60" s="37" t="s">
        <v>0</v>
      </c>
      <c r="T60" s="4">
        <f t="shared" si="0"/>
        <v>324</v>
      </c>
      <c r="U60" s="38">
        <f t="shared" si="1"/>
        <v>308</v>
      </c>
    </row>
    <row r="61" spans="1:21" x14ac:dyDescent="0.25">
      <c r="A61" s="49">
        <v>9</v>
      </c>
      <c r="S61" s="37" t="s">
        <v>22</v>
      </c>
      <c r="T61" s="4">
        <f t="shared" si="0"/>
        <v>810</v>
      </c>
      <c r="U61" s="38">
        <f t="shared" si="1"/>
        <v>308</v>
      </c>
    </row>
    <row r="62" spans="1:21" x14ac:dyDescent="0.25">
      <c r="A62" s="50">
        <v>8</v>
      </c>
      <c r="S62" s="37" t="s">
        <v>23</v>
      </c>
      <c r="T62" s="4">
        <f t="shared" si="0"/>
        <v>810</v>
      </c>
      <c r="U62" s="38">
        <f t="shared" si="1"/>
        <v>308</v>
      </c>
    </row>
    <row r="63" spans="1:21" x14ac:dyDescent="0.25">
      <c r="A63" s="50">
        <v>4</v>
      </c>
      <c r="S63" s="37" t="s">
        <v>28</v>
      </c>
      <c r="T63" s="4">
        <f t="shared" si="0"/>
        <v>324</v>
      </c>
      <c r="U63" s="38">
        <f t="shared" si="1"/>
        <v>308</v>
      </c>
    </row>
    <row r="64" spans="1:21" x14ac:dyDescent="0.25">
      <c r="A64" s="50"/>
      <c r="S64" s="37"/>
      <c r="T64" s="4"/>
      <c r="U64" s="38"/>
    </row>
    <row r="65" spans="1:21" x14ac:dyDescent="0.25">
      <c r="A65" s="53" t="s">
        <v>47</v>
      </c>
      <c r="G65" s="13"/>
      <c r="S65" s="37" t="s">
        <v>24</v>
      </c>
      <c r="T65" s="4">
        <f t="shared" si="0"/>
        <v>0</v>
      </c>
      <c r="U65" s="38">
        <f t="shared" si="1"/>
        <v>440</v>
      </c>
    </row>
    <row r="66" spans="1:21" x14ac:dyDescent="0.25">
      <c r="B66" s="53" t="s">
        <v>0</v>
      </c>
      <c r="C66" s="53" t="s">
        <v>1</v>
      </c>
      <c r="D66" s="53" t="s">
        <v>2</v>
      </c>
      <c r="S66" s="37" t="s">
        <v>25</v>
      </c>
      <c r="T66" s="4">
        <f t="shared" si="0"/>
        <v>0</v>
      </c>
      <c r="U66" s="38">
        <f t="shared" ref="U66:U80" si="2">VLOOKUP(S66, $A$25:$E$57,  2)</f>
        <v>440</v>
      </c>
    </row>
    <row r="67" spans="1:21" ht="13.8" thickBot="1" x14ac:dyDescent="0.3">
      <c r="A67" s="53" t="s">
        <v>48</v>
      </c>
      <c r="B67" s="15">
        <f>D12</f>
        <v>1312.9346032595797</v>
      </c>
      <c r="C67">
        <f>E12</f>
        <v>2044.7744930831884</v>
      </c>
      <c r="D67">
        <f>F12</f>
        <v>7680</v>
      </c>
      <c r="S67" s="37" t="s">
        <v>26</v>
      </c>
      <c r="T67" s="4">
        <f t="shared" si="0"/>
        <v>324</v>
      </c>
      <c r="U67" s="38">
        <f t="shared" si="2"/>
        <v>440</v>
      </c>
    </row>
    <row r="68" spans="1:21" x14ac:dyDescent="0.25">
      <c r="A68" s="53" t="s">
        <v>37</v>
      </c>
      <c r="B68">
        <f>B30</f>
        <v>88</v>
      </c>
      <c r="C68" s="53">
        <f>C30</f>
        <v>405</v>
      </c>
      <c r="D68">
        <f>D30</f>
        <v>2400</v>
      </c>
      <c r="S68" s="37" t="s">
        <v>27</v>
      </c>
      <c r="T68" s="4">
        <f t="shared" si="0"/>
        <v>324</v>
      </c>
      <c r="U68" s="38">
        <f t="shared" si="2"/>
        <v>440</v>
      </c>
    </row>
    <row r="69" spans="1:21" x14ac:dyDescent="0.25">
      <c r="A69" s="53" t="s">
        <v>49</v>
      </c>
      <c r="B69">
        <f>B68-B67</f>
        <v>-1224.9346032595797</v>
      </c>
      <c r="C69">
        <f>C68-C67</f>
        <v>-1639.7744930831884</v>
      </c>
      <c r="D69">
        <f>D68-D67</f>
        <v>-5280</v>
      </c>
      <c r="S69" s="37" t="s">
        <v>24</v>
      </c>
      <c r="T69" s="4">
        <f t="shared" ref="T69:T80" si="3">VLOOKUP(S69, $A$25:$E$57, 3)</f>
        <v>0</v>
      </c>
      <c r="U69" s="38">
        <f t="shared" si="2"/>
        <v>440</v>
      </c>
    </row>
    <row r="70" spans="1:21" x14ac:dyDescent="0.25">
      <c r="A70" s="53" t="s">
        <v>50</v>
      </c>
      <c r="B70">
        <f>B69/(SQRT(B69^2+C69^2+D69^2))</f>
        <v>-0.21631111043420853</v>
      </c>
      <c r="C70">
        <f>C69/(SQRT(B69^2+C69^2+D69^2))</f>
        <v>-0.28956765570720838</v>
      </c>
      <c r="D70">
        <f>D69/(SQRT(B69^2+C69^2+D69^2))</f>
        <v>-0.93239480708064404</v>
      </c>
      <c r="S70" s="37"/>
      <c r="T70" s="4"/>
      <c r="U70" s="38"/>
    </row>
    <row r="71" spans="1:21" x14ac:dyDescent="0.25">
      <c r="S71" s="37" t="s">
        <v>1</v>
      </c>
      <c r="T71" s="4">
        <f t="shared" si="3"/>
        <v>121.5</v>
      </c>
      <c r="U71" s="38">
        <f t="shared" si="2"/>
        <v>110</v>
      </c>
    </row>
    <row r="72" spans="1:21" x14ac:dyDescent="0.25">
      <c r="A72" s="53" t="s">
        <v>51</v>
      </c>
      <c r="S72" s="37" t="s">
        <v>2</v>
      </c>
      <c r="T72" s="4">
        <f t="shared" si="3"/>
        <v>121.5</v>
      </c>
      <c r="U72" s="38">
        <f t="shared" si="2"/>
        <v>264</v>
      </c>
    </row>
    <row r="73" spans="1:21" x14ac:dyDescent="0.25">
      <c r="A73" s="53" t="s">
        <v>52</v>
      </c>
      <c r="B73">
        <v>0</v>
      </c>
      <c r="C73">
        <v>0</v>
      </c>
      <c r="D73">
        <v>1</v>
      </c>
      <c r="S73" s="37" t="s">
        <v>32</v>
      </c>
      <c r="T73" s="4">
        <f t="shared" si="3"/>
        <v>405</v>
      </c>
      <c r="U73" s="38">
        <f t="shared" si="2"/>
        <v>264</v>
      </c>
    </row>
    <row r="74" spans="1:21" x14ac:dyDescent="0.25">
      <c r="A74" s="53" t="s">
        <v>53</v>
      </c>
      <c r="B74">
        <f>B73-(D70*B70)</f>
        <v>-0.20168735608270374</v>
      </c>
      <c r="C74">
        <f>C73-(D70*C70)</f>
        <v>-0.26999137847991689</v>
      </c>
      <c r="D74">
        <f>D73-(D70*D70)</f>
        <v>0.13063992372904853</v>
      </c>
      <c r="S74" s="37"/>
      <c r="T74" s="4"/>
      <c r="U74" s="38"/>
    </row>
    <row r="75" spans="1:21" x14ac:dyDescent="0.25">
      <c r="A75" s="53" t="s">
        <v>56</v>
      </c>
      <c r="B75">
        <f>B74/(SQRT(B74^2+C74^2+D74^2))</f>
        <v>-0.55800837058596287</v>
      </c>
      <c r="C75">
        <f>C74/(SQRT(B74^2+C74^2+D74^2))</f>
        <v>-0.74698509665652002</v>
      </c>
      <c r="D75">
        <f>D74/(SQRT(B74^2+C74^2+D74^2))</f>
        <v>0.36144145269884087</v>
      </c>
      <c r="S75" s="43" t="s">
        <v>30</v>
      </c>
      <c r="T75" s="4">
        <f t="shared" si="3"/>
        <v>243</v>
      </c>
      <c r="U75" s="38">
        <f t="shared" si="2"/>
        <v>154</v>
      </c>
    </row>
    <row r="76" spans="1:21" x14ac:dyDescent="0.25">
      <c r="S76" s="43" t="s">
        <v>31</v>
      </c>
      <c r="T76" s="4">
        <f t="shared" si="3"/>
        <v>243</v>
      </c>
      <c r="U76" s="38">
        <f t="shared" si="2"/>
        <v>418</v>
      </c>
    </row>
    <row r="77" spans="1:21" x14ac:dyDescent="0.25">
      <c r="A77" t="s">
        <v>54</v>
      </c>
      <c r="S77" s="43"/>
      <c r="T77" s="4"/>
      <c r="U77" s="38"/>
    </row>
    <row r="78" spans="1:21" x14ac:dyDescent="0.25">
      <c r="A78" t="s">
        <v>55</v>
      </c>
      <c r="B78">
        <f>(D75*C70)-(C75*D70)</f>
        <v>-0.80114677922258337</v>
      </c>
      <c r="C78">
        <f>(B75*D70)-(D75*B70)</f>
        <v>0.59846790903212299</v>
      </c>
      <c r="D78">
        <f>(C75*B70)-(B75*C70)</f>
        <v>0</v>
      </c>
      <c r="S78" s="43" t="s">
        <v>34</v>
      </c>
      <c r="T78" s="4">
        <f t="shared" si="3"/>
        <v>283.5</v>
      </c>
      <c r="U78" s="38">
        <f t="shared" si="2"/>
        <v>88</v>
      </c>
    </row>
    <row r="79" spans="1:21" x14ac:dyDescent="0.25">
      <c r="S79" s="43" t="s">
        <v>37</v>
      </c>
      <c r="T79" s="4">
        <f t="shared" si="3"/>
        <v>405</v>
      </c>
      <c r="U79" s="38">
        <f t="shared" si="2"/>
        <v>88</v>
      </c>
    </row>
    <row r="80" spans="1:21" ht="13.8" thickBot="1" x14ac:dyDescent="0.3">
      <c r="A80" t="s">
        <v>58</v>
      </c>
      <c r="S80" s="44" t="s">
        <v>38</v>
      </c>
      <c r="T80" s="45">
        <f t="shared" si="3"/>
        <v>526.5</v>
      </c>
      <c r="U80" s="46">
        <f t="shared" si="2"/>
        <v>88</v>
      </c>
    </row>
    <row r="81" spans="1:5" ht="13.8" thickTop="1" x14ac:dyDescent="0.25">
      <c r="A81" t="s">
        <v>55</v>
      </c>
      <c r="B81">
        <f>B78</f>
        <v>-0.80114677922258337</v>
      </c>
      <c r="C81">
        <f t="shared" ref="C81:D81" si="4">C78</f>
        <v>0.59846790903212299</v>
      </c>
      <c r="D81">
        <f t="shared" si="4"/>
        <v>0</v>
      </c>
    </row>
    <row r="82" spans="1:5" x14ac:dyDescent="0.25">
      <c r="A82" t="s">
        <v>59</v>
      </c>
      <c r="B82">
        <f>B75</f>
        <v>-0.55800837058596287</v>
      </c>
      <c r="C82">
        <f t="shared" ref="C82:D82" si="5">C75</f>
        <v>-0.74698509665652002</v>
      </c>
      <c r="D82">
        <f t="shared" si="5"/>
        <v>0.36144145269884087</v>
      </c>
    </row>
    <row r="83" spans="1:5" x14ac:dyDescent="0.25">
      <c r="A83" t="s">
        <v>57</v>
      </c>
      <c r="B83">
        <f>B70</f>
        <v>-0.21631111043420853</v>
      </c>
      <c r="C83">
        <f t="shared" ref="C83:D83" si="6">C70</f>
        <v>-0.28956765570720838</v>
      </c>
      <c r="D83">
        <f t="shared" si="6"/>
        <v>-0.93239480708064404</v>
      </c>
    </row>
    <row r="84" spans="1:5" ht="13.8" thickBot="1" x14ac:dyDescent="0.3"/>
    <row r="85" spans="1:5" x14ac:dyDescent="0.25">
      <c r="A85" t="s">
        <v>63</v>
      </c>
      <c r="B85" s="24">
        <v>1</v>
      </c>
      <c r="C85" s="10">
        <v>0</v>
      </c>
      <c r="D85" s="10">
        <v>0</v>
      </c>
      <c r="E85" s="11">
        <v>0</v>
      </c>
    </row>
    <row r="86" spans="1:5" x14ac:dyDescent="0.25">
      <c r="B86" s="6">
        <v>0</v>
      </c>
      <c r="C86" s="4">
        <v>1</v>
      </c>
      <c r="D86" s="4">
        <v>0</v>
      </c>
      <c r="E86" s="7">
        <v>0</v>
      </c>
    </row>
    <row r="87" spans="1:5" x14ac:dyDescent="0.25">
      <c r="B87" s="6">
        <v>0</v>
      </c>
      <c r="C87" s="4">
        <v>0</v>
      </c>
      <c r="D87" s="4">
        <v>1</v>
      </c>
      <c r="E87" s="7">
        <v>0</v>
      </c>
    </row>
    <row r="88" spans="1:5" ht="13.8" thickBot="1" x14ac:dyDescent="0.3">
      <c r="B88" s="28">
        <f>-D12</f>
        <v>-1312.9346032595797</v>
      </c>
      <c r="C88" s="8">
        <f>-E12</f>
        <v>-2044.7744930831884</v>
      </c>
      <c r="D88" s="8">
        <f>-F12</f>
        <v>-7680</v>
      </c>
      <c r="E88" s="9">
        <v>1</v>
      </c>
    </row>
    <row r="89" spans="1:5" ht="13.8" thickBot="1" x14ac:dyDescent="0.3"/>
    <row r="90" spans="1:5" x14ac:dyDescent="0.25">
      <c r="A90" t="s">
        <v>62</v>
      </c>
      <c r="B90" s="24">
        <f>B81</f>
        <v>-0.80114677922258337</v>
      </c>
      <c r="C90" s="10">
        <f>B82</f>
        <v>-0.55800837058596287</v>
      </c>
      <c r="D90" s="10">
        <f>B83</f>
        <v>-0.21631111043420853</v>
      </c>
      <c r="E90" s="11">
        <v>0</v>
      </c>
    </row>
    <row r="91" spans="1:5" x14ac:dyDescent="0.25">
      <c r="B91" s="6">
        <f>C81</f>
        <v>0.59846790903212299</v>
      </c>
      <c r="C91" s="4">
        <f>C82</f>
        <v>-0.74698509665652002</v>
      </c>
      <c r="D91" s="4">
        <f>C83</f>
        <v>-0.28956765570720838</v>
      </c>
      <c r="E91" s="7">
        <v>0</v>
      </c>
    </row>
    <row r="92" spans="1:5" x14ac:dyDescent="0.25">
      <c r="B92" s="6">
        <f>D81</f>
        <v>0</v>
      </c>
      <c r="C92" s="4">
        <f>D82</f>
        <v>0.36144145269884087</v>
      </c>
      <c r="D92" s="4">
        <f>D83</f>
        <v>-0.93239480708064404</v>
      </c>
      <c r="E92" s="7">
        <v>0</v>
      </c>
    </row>
    <row r="93" spans="1:5" ht="13.8" thickBot="1" x14ac:dyDescent="0.3">
      <c r="B93" s="28">
        <v>0</v>
      </c>
      <c r="C93" s="8">
        <v>0</v>
      </c>
      <c r="D93" s="8">
        <v>0</v>
      </c>
      <c r="E93" s="9">
        <v>1</v>
      </c>
    </row>
    <row r="94" spans="1:5" ht="13.8" thickBot="1" x14ac:dyDescent="0.3"/>
    <row r="95" spans="1:5" x14ac:dyDescent="0.25">
      <c r="A95" t="s">
        <v>61</v>
      </c>
      <c r="B95" s="24">
        <f>MMULT($B85:$E85,B$90:B$93)</f>
        <v>-0.80114677922258337</v>
      </c>
      <c r="C95" s="10">
        <f>MMULT($B85:$E85,C$90:C$93)</f>
        <v>-0.55800837058596287</v>
      </c>
      <c r="D95" s="10">
        <f t="shared" ref="D95:E95" si="7">MMULT($B85:$E85,D$90:D$93)</f>
        <v>-0.21631111043420853</v>
      </c>
      <c r="E95" s="11">
        <f t="shared" si="7"/>
        <v>0</v>
      </c>
    </row>
    <row r="96" spans="1:5" x14ac:dyDescent="0.25">
      <c r="B96" s="6">
        <f>MMULT($B86:$E86,B$90:B$93)</f>
        <v>0.59846790903212299</v>
      </c>
      <c r="C96" s="4">
        <f t="shared" ref="C96:E96" si="8">MMULT($B86:$E86,C$90:C$93)</f>
        <v>-0.74698509665652002</v>
      </c>
      <c r="D96" s="4">
        <f t="shared" si="8"/>
        <v>-0.28956765570720838</v>
      </c>
      <c r="E96" s="7">
        <f t="shared" si="8"/>
        <v>0</v>
      </c>
    </row>
    <row r="97" spans="1:16" x14ac:dyDescent="0.25">
      <c r="B97" s="6">
        <f t="shared" ref="B97:E97" si="9">MMULT($B87:$E87,B$90:B$93)</f>
        <v>0</v>
      </c>
      <c r="C97" s="4">
        <f t="shared" si="9"/>
        <v>0.36144145269884087</v>
      </c>
      <c r="D97" s="4">
        <f t="shared" si="9"/>
        <v>-0.93239480708064404</v>
      </c>
      <c r="E97" s="7">
        <f t="shared" si="9"/>
        <v>0</v>
      </c>
    </row>
    <row r="98" spans="1:16" ht="13.8" thickBot="1" x14ac:dyDescent="0.3">
      <c r="B98" s="28">
        <f t="shared" ref="B98:E98" si="10">MMULT($B88:$E88,B$90:B$93)</f>
        <v>-171.87858658642244</v>
      </c>
      <c r="C98" s="8">
        <f t="shared" si="10"/>
        <v>-515.82578571976001</v>
      </c>
      <c r="D98" s="8">
        <f t="shared" si="10"/>
        <v>8036.895016749917</v>
      </c>
      <c r="E98" s="9">
        <f t="shared" si="10"/>
        <v>1</v>
      </c>
    </row>
    <row r="99" spans="1:16" ht="13.8" thickBot="1" x14ac:dyDescent="0.3"/>
    <row r="100" spans="1:16" x14ac:dyDescent="0.25">
      <c r="A100" t="s">
        <v>60</v>
      </c>
      <c r="B100" s="24">
        <f>B81</f>
        <v>-0.80114677922258337</v>
      </c>
      <c r="C100" s="10">
        <f t="shared" ref="C100:D100" si="11">C81</f>
        <v>0.59846790903212299</v>
      </c>
      <c r="D100" s="10">
        <f t="shared" si="11"/>
        <v>0</v>
      </c>
      <c r="E100" s="11">
        <v>0</v>
      </c>
    </row>
    <row r="101" spans="1:16" x14ac:dyDescent="0.25">
      <c r="B101" s="6">
        <f t="shared" ref="B101:D101" si="12">B82</f>
        <v>-0.55800837058596287</v>
      </c>
      <c r="C101" s="4">
        <f t="shared" si="12"/>
        <v>-0.74698509665652002</v>
      </c>
      <c r="D101" s="4">
        <f t="shared" si="12"/>
        <v>0.36144145269884087</v>
      </c>
      <c r="E101" s="7">
        <v>0</v>
      </c>
    </row>
    <row r="102" spans="1:16" x14ac:dyDescent="0.25">
      <c r="B102" s="6">
        <f t="shared" ref="B102:D102" si="13">B83</f>
        <v>-0.21631111043420853</v>
      </c>
      <c r="C102" s="4">
        <f t="shared" si="13"/>
        <v>-0.28956765570720838</v>
      </c>
      <c r="D102" s="4">
        <f t="shared" si="13"/>
        <v>-0.93239480708064404</v>
      </c>
      <c r="E102" s="7">
        <v>0</v>
      </c>
    </row>
    <row r="103" spans="1:16" ht="13.8" thickBot="1" x14ac:dyDescent="0.3">
      <c r="B103" s="28">
        <v>0</v>
      </c>
      <c r="C103" s="8">
        <v>0</v>
      </c>
      <c r="D103" s="8">
        <v>0</v>
      </c>
      <c r="E103" s="9">
        <v>1</v>
      </c>
    </row>
    <row r="104" spans="1:16" ht="13.8" thickBot="1" x14ac:dyDescent="0.3"/>
    <row r="105" spans="1:16" x14ac:dyDescent="0.25">
      <c r="A105" t="s">
        <v>64</v>
      </c>
      <c r="B105" s="24">
        <f>MMULT($B100:$E100,B$90:B$93)</f>
        <v>1.0000000000000002</v>
      </c>
      <c r="C105" s="10">
        <f t="shared" ref="C105:E105" si="14">MMULT($B100:$E100,C$90:C$93)</f>
        <v>5.5511151231257827E-17</v>
      </c>
      <c r="D105" s="10">
        <f t="shared" si="14"/>
        <v>2.7755575615628914E-17</v>
      </c>
      <c r="E105" s="11">
        <f t="shared" si="14"/>
        <v>0</v>
      </c>
    </row>
    <row r="106" spans="1:16" x14ac:dyDescent="0.25">
      <c r="B106" s="6">
        <f t="shared" ref="B106:E106" si="15">MMULT($B101:$E101,B$90:B$93)</f>
        <v>5.5511151231257827E-17</v>
      </c>
      <c r="C106" s="4">
        <f t="shared" si="15"/>
        <v>1.0000000000000004</v>
      </c>
      <c r="D106" s="4">
        <f t="shared" si="15"/>
        <v>4.4408920985006262E-16</v>
      </c>
      <c r="E106" s="7">
        <f t="shared" si="15"/>
        <v>0</v>
      </c>
    </row>
    <row r="107" spans="1:16" x14ac:dyDescent="0.25">
      <c r="B107" s="6">
        <f t="shared" ref="B107:E107" si="16">MMULT($B102:$E102,B$90:B$93)</f>
        <v>2.7755575615628914E-17</v>
      </c>
      <c r="C107" s="4">
        <f t="shared" si="16"/>
        <v>4.4408920985006262E-16</v>
      </c>
      <c r="D107" s="4">
        <f t="shared" si="16"/>
        <v>1.0000000000000002</v>
      </c>
      <c r="E107" s="7">
        <f t="shared" si="16"/>
        <v>0</v>
      </c>
    </row>
    <row r="108" spans="1:16" ht="13.8" thickBot="1" x14ac:dyDescent="0.3">
      <c r="B108" s="28">
        <f t="shared" ref="B108:E108" si="17">MMULT($B103:$E103,B$90:B$93)</f>
        <v>0</v>
      </c>
      <c r="C108" s="8">
        <f t="shared" si="17"/>
        <v>0</v>
      </c>
      <c r="D108" s="8">
        <f t="shared" si="17"/>
        <v>0</v>
      </c>
      <c r="E108" s="9">
        <f t="shared" si="17"/>
        <v>1</v>
      </c>
    </row>
    <row r="110" spans="1:16" x14ac:dyDescent="0.25">
      <c r="A110" t="s">
        <v>65</v>
      </c>
    </row>
    <row r="112" spans="1:16" ht="13.8" thickBot="1" x14ac:dyDescent="0.3">
      <c r="B112" s="5" t="s">
        <v>0</v>
      </c>
      <c r="C112" s="5" t="s">
        <v>1</v>
      </c>
      <c r="D112" s="5" t="s">
        <v>2</v>
      </c>
      <c r="E112" s="5" t="s">
        <v>4</v>
      </c>
      <c r="M112" t="s">
        <v>26</v>
      </c>
      <c r="N112" t="s">
        <v>27</v>
      </c>
      <c r="O112" t="s">
        <v>21</v>
      </c>
      <c r="P112" t="s">
        <v>4</v>
      </c>
    </row>
    <row r="113" spans="1:16" x14ac:dyDescent="0.25">
      <c r="A113" s="22" t="s">
        <v>3</v>
      </c>
      <c r="B113" s="30">
        <v>0</v>
      </c>
      <c r="C113" s="31">
        <v>0</v>
      </c>
      <c r="D113" s="31">
        <v>0</v>
      </c>
      <c r="E113" s="60">
        <v>1</v>
      </c>
      <c r="F113" s="56" t="s">
        <v>70</v>
      </c>
      <c r="G113" s="24">
        <f>B95</f>
        <v>-0.80114677922258337</v>
      </c>
      <c r="H113" s="10">
        <f t="shared" ref="H113:J113" si="18">C95</f>
        <v>-0.55800837058596287</v>
      </c>
      <c r="I113" s="10">
        <f t="shared" si="18"/>
        <v>-0.21631111043420853</v>
      </c>
      <c r="J113" s="11">
        <f t="shared" si="18"/>
        <v>0</v>
      </c>
      <c r="K113" s="56" t="s">
        <v>66</v>
      </c>
      <c r="L113" s="54" t="s">
        <v>3</v>
      </c>
      <c r="M113" s="10">
        <f>MMULT($B113:$E113,G$113:G$116)</f>
        <v>-171.87858658642244</v>
      </c>
      <c r="N113" s="10">
        <f>MMULT($B113:$E113,H$113:H$116)</f>
        <v>-515.82578571976001</v>
      </c>
      <c r="O113" s="10">
        <f>MMULT($B113:$E113,I$113:I$116)</f>
        <v>8036.895016749917</v>
      </c>
      <c r="P113" s="11">
        <f>MMULT($B113:$E113,J$113:J$116)</f>
        <v>1</v>
      </c>
    </row>
    <row r="114" spans="1:16" x14ac:dyDescent="0.25">
      <c r="A114" s="23" t="s">
        <v>30</v>
      </c>
      <c r="B114">
        <f>0.35*B120</f>
        <v>154</v>
      </c>
      <c r="C114">
        <f>0.3*C120</f>
        <v>243</v>
      </c>
      <c r="D114">
        <f>D120</f>
        <v>960</v>
      </c>
      <c r="E114" s="14">
        <v>1</v>
      </c>
      <c r="G114" s="6">
        <f t="shared" ref="G114:G116" si="19">B96</f>
        <v>0.59846790903212299</v>
      </c>
      <c r="H114" s="4">
        <f t="shared" ref="H114:H116" si="20">C96</f>
        <v>-0.74698509665652002</v>
      </c>
      <c r="I114" s="4">
        <f t="shared" ref="I114:I116" si="21">D96</f>
        <v>-0.28956765570720838</v>
      </c>
      <c r="J114" s="7">
        <f t="shared" ref="J114:J116" si="22">E96</f>
        <v>0</v>
      </c>
      <c r="L114" s="12" t="s">
        <v>30</v>
      </c>
      <c r="M114" s="4">
        <f>MMULT($B114:$E114,G$113:G$116)</f>
        <v>-149.82748869189439</v>
      </c>
      <c r="N114" s="4">
        <f>MMULT($B114:$E114,H$113:H$116)</f>
        <v>-436.29265868664544</v>
      </c>
      <c r="O114" s="4">
        <f>MMULT($B114:$E114,I$113:I$116)</f>
        <v>7038.1191506087789</v>
      </c>
      <c r="P114" s="7">
        <f>MMULT($B114:$E114,J$113:J$116)</f>
        <v>1</v>
      </c>
    </row>
    <row r="115" spans="1:16" x14ac:dyDescent="0.25">
      <c r="A115" s="23" t="s">
        <v>31</v>
      </c>
      <c r="B115">
        <f>0.95*B120</f>
        <v>418</v>
      </c>
      <c r="C115">
        <f>C114</f>
        <v>243</v>
      </c>
      <c r="D115">
        <f>D114</f>
        <v>960</v>
      </c>
      <c r="E115" s="14">
        <v>1</v>
      </c>
      <c r="G115" s="6">
        <f t="shared" si="19"/>
        <v>0</v>
      </c>
      <c r="H115" s="4">
        <f t="shared" si="20"/>
        <v>0.36144145269884087</v>
      </c>
      <c r="I115" s="4">
        <f t="shared" si="21"/>
        <v>-0.93239480708064404</v>
      </c>
      <c r="J115" s="7">
        <f t="shared" si="22"/>
        <v>0</v>
      </c>
      <c r="L115" s="12" t="s">
        <v>31</v>
      </c>
      <c r="M115" s="4">
        <f>MMULT($B115:$E115,G$113:G$116)</f>
        <v>-361.33023840665635</v>
      </c>
      <c r="N115" s="4">
        <f>MMULT($B115:$E115,H$113:H$116)</f>
        <v>-583.60686852133961</v>
      </c>
      <c r="O115" s="4">
        <f>MMULT($B115:$E115,I$113:I$116)</f>
        <v>6981.0130174541482</v>
      </c>
      <c r="P115" s="7">
        <f>MMULT($B115:$E115,J$113:J$116)</f>
        <v>1</v>
      </c>
    </row>
    <row r="116" spans="1:16" ht="13.8" thickBot="1" x14ac:dyDescent="0.3">
      <c r="A116" s="23" t="s">
        <v>32</v>
      </c>
      <c r="B116">
        <f>0.6*B120</f>
        <v>264</v>
      </c>
      <c r="C116">
        <f>0.5*C120</f>
        <v>405</v>
      </c>
      <c r="D116">
        <f>D120</f>
        <v>960</v>
      </c>
      <c r="E116" s="14">
        <v>1</v>
      </c>
      <c r="G116" s="28">
        <f t="shared" si="19"/>
        <v>-171.87858658642244</v>
      </c>
      <c r="H116" s="8">
        <f t="shared" si="20"/>
        <v>-515.82578571976001</v>
      </c>
      <c r="I116" s="8">
        <f t="shared" si="21"/>
        <v>8036.895016749917</v>
      </c>
      <c r="J116" s="9">
        <f t="shared" si="22"/>
        <v>1</v>
      </c>
      <c r="L116" s="12" t="s">
        <v>32</v>
      </c>
      <c r="M116" s="4">
        <f>MMULT($B116:$E116,G$113:G$116)</f>
        <v>-141.00183314317465</v>
      </c>
      <c r="N116" s="4">
        <f>MMULT($B116:$E116,H$113:H$116)</f>
        <v>-618.68516510945756</v>
      </c>
      <c r="O116" s="4">
        <f>MMULT($B116:$E116,I$113:I$116)</f>
        <v>6967.4149682364477</v>
      </c>
      <c r="P116" s="7">
        <f>MMULT($B116:$E116,J$113:J$116)</f>
        <v>1</v>
      </c>
    </row>
    <row r="117" spans="1:16" x14ac:dyDescent="0.25">
      <c r="A117" s="23" t="s">
        <v>34</v>
      </c>
      <c r="B117">
        <f>0.2*B120</f>
        <v>88</v>
      </c>
      <c r="C117">
        <f>0.35*C120</f>
        <v>283.5</v>
      </c>
      <c r="D117">
        <f>4.5*D120</f>
        <v>4320</v>
      </c>
      <c r="E117" s="14">
        <v>1</v>
      </c>
      <c r="L117" s="12" t="s">
        <v>34</v>
      </c>
      <c r="M117" s="4">
        <f>MMULT($B117:$E117,G$113:G$116)</f>
        <v>-72.713850947402904</v>
      </c>
      <c r="N117" s="4">
        <f>MMULT($B117:$E117,H$113:H$116)</f>
        <v>784.72627842554448</v>
      </c>
      <c r="O117" s="4">
        <f>MMULT($B117:$E117,I$113:I$116)</f>
        <v>3907.8216420503304</v>
      </c>
      <c r="P117" s="7">
        <f>MMULT($B117:$E117,J$113:J$116)</f>
        <v>1</v>
      </c>
    </row>
    <row r="118" spans="1:16" x14ac:dyDescent="0.25">
      <c r="A118" s="23" t="s">
        <v>37</v>
      </c>
      <c r="B118">
        <f>B117</f>
        <v>88</v>
      </c>
      <c r="C118">
        <f>0.5*C120</f>
        <v>405</v>
      </c>
      <c r="D118">
        <f>2.5*D120</f>
        <v>2400</v>
      </c>
      <c r="E118" s="14">
        <v>1</v>
      </c>
      <c r="L118" s="12" t="s">
        <v>37</v>
      </c>
      <c r="M118" s="4">
        <f>MMULT($B118:$E118,G$113:G$116)</f>
        <v>2.8421709430404007E-14</v>
      </c>
      <c r="N118" s="4">
        <f>MMULT($B118:$E118,H$113:H$116)</f>
        <v>2.7284841053187847E-12</v>
      </c>
      <c r="O118" s="4">
        <f>MMULT($B118:$E118,I$113:I$116)</f>
        <v>5662.8372014767419</v>
      </c>
      <c r="P118" s="7">
        <f>MMULT($B118:$E118,J$113:J$116)</f>
        <v>1</v>
      </c>
    </row>
    <row r="119" spans="1:16" x14ac:dyDescent="0.25">
      <c r="A119" s="23" t="s">
        <v>38</v>
      </c>
      <c r="B119">
        <f>B117</f>
        <v>88</v>
      </c>
      <c r="C119">
        <f>0.65*C120</f>
        <v>526.5</v>
      </c>
      <c r="D119">
        <f>3*D120</f>
        <v>2880</v>
      </c>
      <c r="E119" s="14">
        <v>1</v>
      </c>
      <c r="L119" s="12" t="s">
        <v>38</v>
      </c>
      <c r="M119" s="4">
        <f>MMULT($B119:$E119,G$113:G$116)</f>
        <v>72.71385094740296</v>
      </c>
      <c r="N119" s="4">
        <f>MMULT($B119:$E119,H$113:H$116)</f>
        <v>82.733208051679185</v>
      </c>
      <c r="O119" s="4">
        <f>MMULT($B119:$E119,I$113:I$116)</f>
        <v>5180.1052239096061</v>
      </c>
      <c r="P119" s="7">
        <f>MMULT($B119:$E119,J$113:J$116)</f>
        <v>1</v>
      </c>
    </row>
    <row r="120" spans="1:16" x14ac:dyDescent="0.25">
      <c r="A120" s="23" t="s">
        <v>39</v>
      </c>
      <c r="B120" s="33">
        <f>A63*110</f>
        <v>440</v>
      </c>
      <c r="C120" s="33">
        <f>A61*90</f>
        <v>810</v>
      </c>
      <c r="D120" s="33">
        <f>A62*120</f>
        <v>960</v>
      </c>
      <c r="E120" s="14">
        <v>1</v>
      </c>
      <c r="L120" s="12" t="s">
        <v>39</v>
      </c>
      <c r="M120" s="4">
        <f>MMULT($B120:$E120,G$113:G$116)</f>
        <v>-39.62416312833949</v>
      </c>
      <c r="N120" s="4">
        <f>MMULT($B120:$E120,H$113:H$116)</f>
        <v>-1019.4236024784776</v>
      </c>
      <c r="O120" s="4">
        <f>MMULT($B120:$E120,I$113:I$116)</f>
        <v>6812.0693122386083</v>
      </c>
      <c r="P120" s="7">
        <f>MMULT($B120:$E120,J$113:J$116)</f>
        <v>1</v>
      </c>
    </row>
    <row r="121" spans="1:16" x14ac:dyDescent="0.25">
      <c r="A121" s="23" t="s">
        <v>6</v>
      </c>
      <c r="B121">
        <v>0</v>
      </c>
      <c r="C121">
        <v>0</v>
      </c>
      <c r="D121">
        <f>3*D120</f>
        <v>2880</v>
      </c>
      <c r="E121" s="29">
        <v>1</v>
      </c>
      <c r="L121" s="12" t="s">
        <v>6</v>
      </c>
      <c r="M121" s="4">
        <f>MMULT($B121:$E121,G$113:G$116)</f>
        <v>-171.87858658642244</v>
      </c>
      <c r="N121" s="4">
        <f>MMULT($B121:$E121,H$113:H$116)</f>
        <v>525.12559805290175</v>
      </c>
      <c r="O121" s="4">
        <f>MMULT($B121:$E121,I$113:I$116)</f>
        <v>5351.597972357662</v>
      </c>
      <c r="P121" s="7">
        <f>MMULT($B121:$E121,J$113:J$116)</f>
        <v>1</v>
      </c>
    </row>
    <row r="122" spans="1:16" x14ac:dyDescent="0.25">
      <c r="A122" s="23" t="s">
        <v>7</v>
      </c>
      <c r="B122">
        <f>0.2*B120</f>
        <v>88</v>
      </c>
      <c r="C122">
        <v>0</v>
      </c>
      <c r="D122">
        <f>3*D120</f>
        <v>2880</v>
      </c>
      <c r="E122" s="29">
        <v>1</v>
      </c>
      <c r="L122" s="12" t="s">
        <v>7</v>
      </c>
      <c r="M122" s="4">
        <f>MMULT($B122:$E122,G$113:G$116)</f>
        <v>-242.37950315800978</v>
      </c>
      <c r="N122" s="4">
        <f>MMULT($B122:$E122,H$113:H$116)</f>
        <v>476.02086144133705</v>
      </c>
      <c r="O122" s="4">
        <f>MMULT($B122:$E122,I$113:I$116)</f>
        <v>5332.5625946394521</v>
      </c>
      <c r="P122" s="7">
        <f>MMULT($B122:$E122,J$113:J$116)</f>
        <v>1</v>
      </c>
    </row>
    <row r="123" spans="1:16" x14ac:dyDescent="0.25">
      <c r="A123" s="23" t="s">
        <v>8</v>
      </c>
      <c r="B123">
        <f>0.2*B120</f>
        <v>88</v>
      </c>
      <c r="C123">
        <f>0.3*C120</f>
        <v>243</v>
      </c>
      <c r="D123">
        <f>3*D120</f>
        <v>2880</v>
      </c>
      <c r="E123" s="29">
        <v>1</v>
      </c>
      <c r="L123" s="12" t="s">
        <v>8</v>
      </c>
      <c r="M123" s="4">
        <f>MMULT($B123:$E123,G$113:G$116)</f>
        <v>-96.95180126320389</v>
      </c>
      <c r="N123" s="4">
        <f>MMULT($B123:$E123,H$113:H$116)</f>
        <v>294.50348295380263</v>
      </c>
      <c r="O123" s="4">
        <f>MMULT($B123:$E123,I$113:I$116)</f>
        <v>5262.1976543025994</v>
      </c>
      <c r="P123" s="7">
        <f>MMULT($B123:$E123,J$113:J$116)</f>
        <v>1</v>
      </c>
    </row>
    <row r="124" spans="1:16" x14ac:dyDescent="0.25">
      <c r="A124" s="23" t="s">
        <v>5</v>
      </c>
      <c r="B124">
        <f>0.2*B120</f>
        <v>88</v>
      </c>
      <c r="C124">
        <f>0.3*C120</f>
        <v>243</v>
      </c>
      <c r="D124">
        <f>5*D120</f>
        <v>4800</v>
      </c>
      <c r="E124" s="29">
        <v>1</v>
      </c>
      <c r="L124" s="12" t="s">
        <v>5</v>
      </c>
      <c r="M124" s="4">
        <f>MMULT($B124:$E124,G$113:G$116)</f>
        <v>-96.95180126320389</v>
      </c>
      <c r="N124" s="4">
        <f>MMULT($B124:$E124,H$113:H$116)</f>
        <v>988.47107213557706</v>
      </c>
      <c r="O124" s="4">
        <f>MMULT($B124:$E124,I$113:I$116)</f>
        <v>3471.9996247077643</v>
      </c>
      <c r="P124" s="7">
        <f>MMULT($B124:$E124,J$113:J$116)</f>
        <v>1</v>
      </c>
    </row>
    <row r="125" spans="1:16" x14ac:dyDescent="0.25">
      <c r="A125" s="23" t="s">
        <v>9</v>
      </c>
      <c r="B125">
        <v>0</v>
      </c>
      <c r="C125">
        <f>0.3*C120</f>
        <v>243</v>
      </c>
      <c r="D125">
        <f>5*D120</f>
        <v>4800</v>
      </c>
      <c r="E125" s="29">
        <v>1</v>
      </c>
      <c r="L125" s="12" t="s">
        <v>9</v>
      </c>
      <c r="M125" s="4">
        <f>MMULT($B125:$E125,G$113:G$116)</f>
        <v>-26.450884691616551</v>
      </c>
      <c r="N125" s="4">
        <f>MMULT($B125:$E125,H$113:H$116)</f>
        <v>1037.5758087471418</v>
      </c>
      <c r="O125" s="4">
        <f>MMULT($B125:$E125,I$113:I$116)</f>
        <v>3491.0350024259742</v>
      </c>
      <c r="P125" s="7">
        <f>MMULT($B125:$E125,J$113:J$116)</f>
        <v>1</v>
      </c>
    </row>
    <row r="126" spans="1:16" x14ac:dyDescent="0.25">
      <c r="A126" s="23" t="s">
        <v>10</v>
      </c>
      <c r="B126">
        <v>0</v>
      </c>
      <c r="C126">
        <f>0.3*C120</f>
        <v>243</v>
      </c>
      <c r="D126">
        <f>3*D120</f>
        <v>2880</v>
      </c>
      <c r="E126" s="40">
        <v>1</v>
      </c>
      <c r="L126" s="12" t="s">
        <v>10</v>
      </c>
      <c r="M126" s="4">
        <f>MMULT($B126:$E126,G$113:G$116)</f>
        <v>-26.450884691616551</v>
      </c>
      <c r="N126" s="4">
        <f>MMULT($B126:$E126,H$113:H$116)</f>
        <v>343.60821956536734</v>
      </c>
      <c r="O126" s="4">
        <f>MMULT($B126:$E126,I$113:I$116)</f>
        <v>5281.2330320208102</v>
      </c>
      <c r="P126" s="7">
        <f>MMULT($B126:$E126,J$113:J$116)</f>
        <v>1</v>
      </c>
    </row>
    <row r="127" spans="1:16" x14ac:dyDescent="0.25">
      <c r="A127" s="23" t="s">
        <v>4</v>
      </c>
      <c r="B127">
        <v>0</v>
      </c>
      <c r="C127">
        <f>0.7*C120</f>
        <v>567</v>
      </c>
      <c r="D127">
        <f>3*D120</f>
        <v>2880</v>
      </c>
      <c r="E127" s="29">
        <v>1</v>
      </c>
      <c r="L127" s="12" t="s">
        <v>4</v>
      </c>
      <c r="M127" s="4">
        <f>MMULT($B127:$E127,G$113:G$116)</f>
        <v>167.45271783479131</v>
      </c>
      <c r="N127" s="4">
        <f>MMULT($B127:$E127,H$113:H$116)</f>
        <v>101.58504824865486</v>
      </c>
      <c r="O127" s="4">
        <f>MMULT($B127:$E127,I$113:I$116)</f>
        <v>5187.4131115716755</v>
      </c>
      <c r="P127" s="7">
        <f>MMULT($B127:$E127,J$113:J$116)</f>
        <v>1</v>
      </c>
    </row>
    <row r="128" spans="1:16" x14ac:dyDescent="0.25">
      <c r="A128" s="23" t="s">
        <v>11</v>
      </c>
      <c r="B128">
        <v>0</v>
      </c>
      <c r="C128">
        <f>0.7*C120</f>
        <v>567</v>
      </c>
      <c r="D128">
        <f>5*D120</f>
        <v>4800</v>
      </c>
      <c r="E128" s="14">
        <v>1</v>
      </c>
      <c r="L128" s="12" t="s">
        <v>11</v>
      </c>
      <c r="M128" s="4">
        <f>MMULT($B128:$E128,G$113:G$116)</f>
        <v>167.45271783479131</v>
      </c>
      <c r="N128" s="4">
        <f>MMULT($B128:$E128,H$113:H$116)</f>
        <v>795.55263743042929</v>
      </c>
      <c r="O128" s="4">
        <f>MMULT($B128:$E128,I$113:I$116)</f>
        <v>3397.2150819768385</v>
      </c>
      <c r="P128" s="7">
        <f>MMULT($B128:$E128,J$113:J$116)</f>
        <v>1</v>
      </c>
    </row>
    <row r="129" spans="1:16" x14ac:dyDescent="0.25">
      <c r="A129" s="23" t="s">
        <v>12</v>
      </c>
      <c r="B129">
        <f>0.2*B120</f>
        <v>88</v>
      </c>
      <c r="C129">
        <f>0.7*C120</f>
        <v>567</v>
      </c>
      <c r="D129">
        <f>5*D120</f>
        <v>4800</v>
      </c>
      <c r="E129" s="14">
        <v>1</v>
      </c>
      <c r="L129" s="12" t="s">
        <v>12</v>
      </c>
      <c r="M129" s="4">
        <f>MMULT($B129:$E129,G$113:G$116)</f>
        <v>96.951801263203947</v>
      </c>
      <c r="N129" s="4">
        <f>MMULT($B129:$E129,H$113:H$116)</f>
        <v>746.44790081886458</v>
      </c>
      <c r="O129" s="4">
        <f>MMULT($B129:$E129,I$113:I$116)</f>
        <v>3378.1797042586286</v>
      </c>
      <c r="P129" s="7">
        <f>MMULT($B129:$E129,J$113:J$116)</f>
        <v>1</v>
      </c>
    </row>
    <row r="130" spans="1:16" x14ac:dyDescent="0.25">
      <c r="A130" s="23" t="s">
        <v>13</v>
      </c>
      <c r="B130">
        <f>0.2*B120</f>
        <v>88</v>
      </c>
      <c r="C130">
        <f>0.7*C120</f>
        <v>567</v>
      </c>
      <c r="D130">
        <f>3*D120</f>
        <v>2880</v>
      </c>
      <c r="E130" s="14">
        <v>1</v>
      </c>
      <c r="L130" s="12" t="s">
        <v>13</v>
      </c>
      <c r="M130" s="4">
        <f>MMULT($B130:$E130,G$113:G$116)</f>
        <v>96.951801263203947</v>
      </c>
      <c r="N130" s="4">
        <f>MMULT($B130:$E130,H$113:H$116)</f>
        <v>52.480311637090153</v>
      </c>
      <c r="O130" s="4">
        <f>MMULT($B130:$E130,I$113:I$116)</f>
        <v>5168.3777338534646</v>
      </c>
      <c r="P130" s="7">
        <f>MMULT($B130:$E130,J$113:J$116)</f>
        <v>1</v>
      </c>
    </row>
    <row r="131" spans="1:16" x14ac:dyDescent="0.25">
      <c r="A131" s="23" t="s">
        <v>14</v>
      </c>
      <c r="B131">
        <f>0.2*B120</f>
        <v>88</v>
      </c>
      <c r="C131">
        <f>C120</f>
        <v>810</v>
      </c>
      <c r="D131">
        <f>3*D120</f>
        <v>2880</v>
      </c>
      <c r="E131" s="14">
        <v>1</v>
      </c>
      <c r="L131" s="12" t="s">
        <v>14</v>
      </c>
      <c r="M131" s="4">
        <f>MMULT($B131:$E131,G$113:G$116)</f>
        <v>242.37950315800981</v>
      </c>
      <c r="N131" s="4">
        <f>MMULT($B131:$E131,H$113:H$116)</f>
        <v>-129.03706685044415</v>
      </c>
      <c r="O131" s="4">
        <f>MMULT($B131:$E131,I$113:I$116)</f>
        <v>5098.0127935166129</v>
      </c>
      <c r="P131" s="7">
        <f>MMULT($B131:$E131,J$113:J$116)</f>
        <v>1</v>
      </c>
    </row>
    <row r="132" spans="1:16" x14ac:dyDescent="0.25">
      <c r="A132" s="12" t="s">
        <v>15</v>
      </c>
      <c r="B132" s="6">
        <v>0</v>
      </c>
      <c r="C132">
        <f>C120</f>
        <v>810</v>
      </c>
      <c r="D132">
        <f>3*D120</f>
        <v>2880</v>
      </c>
      <c r="E132" s="14">
        <v>1</v>
      </c>
      <c r="L132" s="12" t="s">
        <v>15</v>
      </c>
      <c r="M132" s="4">
        <f>MMULT($B132:$E132,G$113:G$116)</f>
        <v>312.88041972959718</v>
      </c>
      <c r="N132" s="4">
        <f>MMULT($B132:$E132,H$113:H$116)</f>
        <v>-79.932330238879445</v>
      </c>
      <c r="O132" s="4">
        <f>MMULT($B132:$E132,I$113:I$116)</f>
        <v>5117.0481712348228</v>
      </c>
      <c r="P132" s="7">
        <f>MMULT($B132:$E132,J$113:J$116)</f>
        <v>1</v>
      </c>
    </row>
    <row r="133" spans="1:16" x14ac:dyDescent="0.25">
      <c r="A133" s="13" t="s">
        <v>21</v>
      </c>
      <c r="B133" s="6">
        <v>0</v>
      </c>
      <c r="C133">
        <f>C120</f>
        <v>810</v>
      </c>
      <c r="D133">
        <v>0</v>
      </c>
      <c r="E133" s="14">
        <v>1</v>
      </c>
      <c r="L133" s="12" t="s">
        <v>21</v>
      </c>
      <c r="M133" s="4">
        <f>MMULT($B133:$E133,G$113:G$116)</f>
        <v>312.88041972959718</v>
      </c>
      <c r="N133" s="4">
        <f>MMULT($B133:$E133,H$113:H$116)</f>
        <v>-1120.8837140115411</v>
      </c>
      <c r="O133" s="4">
        <f>MMULT($B133:$E133,I$113:I$116)</f>
        <v>7802.3452156270778</v>
      </c>
      <c r="P133" s="7">
        <f>MMULT($B133:$E133,J$113:J$116)</f>
        <v>1</v>
      </c>
    </row>
    <row r="134" spans="1:16" x14ac:dyDescent="0.25">
      <c r="A134" s="13" t="s">
        <v>22</v>
      </c>
      <c r="B134" s="6">
        <f>0.7*B120</f>
        <v>308</v>
      </c>
      <c r="C134">
        <f>C120</f>
        <v>810</v>
      </c>
      <c r="D134">
        <v>0</v>
      </c>
      <c r="E134" s="14">
        <v>1</v>
      </c>
      <c r="L134" s="12" t="s">
        <v>22</v>
      </c>
      <c r="M134" s="4">
        <f>MMULT($B134:$E134,G$113:G$116)</f>
        <v>66.127211729041505</v>
      </c>
      <c r="N134" s="4">
        <f>MMULT($B134:$E134,H$113:H$116)</f>
        <v>-1292.7502921520177</v>
      </c>
      <c r="O134" s="4">
        <f>MMULT($B134:$E134,I$113:I$116)</f>
        <v>7735.7213936133421</v>
      </c>
      <c r="P134" s="7">
        <f>MMULT($B134:$E134,J$113:J$116)</f>
        <v>1</v>
      </c>
    </row>
    <row r="135" spans="1:16" x14ac:dyDescent="0.25">
      <c r="A135" s="13" t="s">
        <v>23</v>
      </c>
      <c r="B135" s="6">
        <f>0.7*B120</f>
        <v>308</v>
      </c>
      <c r="C135">
        <f>C120</f>
        <v>810</v>
      </c>
      <c r="D135">
        <f>D120</f>
        <v>960</v>
      </c>
      <c r="E135" s="14">
        <v>1</v>
      </c>
      <c r="L135" s="12" t="s">
        <v>23</v>
      </c>
      <c r="M135" s="4">
        <f>MMULT($B135:$E135,G$113:G$116)</f>
        <v>66.127211729041505</v>
      </c>
      <c r="N135" s="4">
        <f>MMULT($B135:$E135,H$113:H$116)</f>
        <v>-945.76649756113056</v>
      </c>
      <c r="O135" s="4">
        <f>MMULT($B135:$E135,I$113:I$116)</f>
        <v>6840.6223788159241</v>
      </c>
      <c r="P135" s="7">
        <f>MMULT($B135:$E135,J$113:J$116)</f>
        <v>1</v>
      </c>
    </row>
    <row r="136" spans="1:16" x14ac:dyDescent="0.25">
      <c r="A136" s="13" t="s">
        <v>17</v>
      </c>
      <c r="B136" s="6">
        <f>0.2*B120</f>
        <v>88</v>
      </c>
      <c r="C136">
        <f>C120</f>
        <v>810</v>
      </c>
      <c r="D136">
        <f>D120</f>
        <v>960</v>
      </c>
      <c r="E136" s="14">
        <v>1</v>
      </c>
      <c r="L136" s="12" t="s">
        <v>17</v>
      </c>
      <c r="M136" s="4">
        <f>MMULT($B136:$E136,G$113:G$116)</f>
        <v>242.37950315800981</v>
      </c>
      <c r="N136" s="4">
        <f>MMULT($B136:$E136,H$113:H$116)</f>
        <v>-823.00465603221869</v>
      </c>
      <c r="O136" s="4">
        <f>MMULT($B136:$E136,I$113:I$116)</f>
        <v>6888.2108231114498</v>
      </c>
      <c r="P136" s="7">
        <f>MMULT($B136:$E136,J$113:J$116)</f>
        <v>1</v>
      </c>
    </row>
    <row r="137" spans="1:16" x14ac:dyDescent="0.25">
      <c r="A137" s="13" t="s">
        <v>16</v>
      </c>
      <c r="B137" s="6">
        <f>0.2*B120</f>
        <v>88</v>
      </c>
      <c r="C137">
        <v>0</v>
      </c>
      <c r="D137">
        <f>D120</f>
        <v>960</v>
      </c>
      <c r="E137" s="14">
        <v>1</v>
      </c>
      <c r="L137" s="12" t="s">
        <v>16</v>
      </c>
      <c r="M137" s="4">
        <f>MMULT($B137:$E137,G$113:G$116)</f>
        <v>-242.37950315800978</v>
      </c>
      <c r="N137" s="4">
        <f>MMULT($B137:$E137,H$113:H$116)</f>
        <v>-217.9467277404375</v>
      </c>
      <c r="O137" s="4">
        <f>MMULT($B137:$E137,I$113:I$116)</f>
        <v>7122.7606242342881</v>
      </c>
      <c r="P137" s="7">
        <f>MMULT($B137:$E137,J$113:J$116)</f>
        <v>1</v>
      </c>
    </row>
    <row r="138" spans="1:16" x14ac:dyDescent="0.25">
      <c r="A138" s="13" t="s">
        <v>24</v>
      </c>
      <c r="B138" s="6">
        <f>B120</f>
        <v>440</v>
      </c>
      <c r="C138">
        <v>0</v>
      </c>
      <c r="D138">
        <f>D120</f>
        <v>960</v>
      </c>
      <c r="E138" s="14">
        <v>1</v>
      </c>
      <c r="L138" s="12" t="s">
        <v>24</v>
      </c>
      <c r="M138" s="4">
        <f>MMULT($B138:$E138,G$113:G$116)</f>
        <v>-524.38316944435905</v>
      </c>
      <c r="N138" s="4">
        <f>MMULT($B138:$E138,H$113:H$116)</f>
        <v>-414.36567418669642</v>
      </c>
      <c r="O138" s="4">
        <f>MMULT($B138:$E138,I$113:I$116)</f>
        <v>7046.6191133614466</v>
      </c>
      <c r="P138" s="7">
        <f>MMULT($B138:$E138,J$113:J$116)</f>
        <v>1</v>
      </c>
    </row>
    <row r="139" spans="1:16" x14ac:dyDescent="0.25">
      <c r="A139" s="13" t="s">
        <v>25</v>
      </c>
      <c r="B139" s="6">
        <f>B120</f>
        <v>440</v>
      </c>
      <c r="C139">
        <v>0</v>
      </c>
      <c r="D139">
        <v>0</v>
      </c>
      <c r="E139" s="14">
        <v>1</v>
      </c>
      <c r="L139" s="12" t="s">
        <v>25</v>
      </c>
      <c r="M139" s="4">
        <f>MMULT($B139:$E139,G$113:G$116)</f>
        <v>-524.38316944435905</v>
      </c>
      <c r="N139" s="4">
        <f>MMULT($B139:$E139,H$113:H$116)</f>
        <v>-761.34946877758364</v>
      </c>
      <c r="O139" s="4">
        <f>MMULT($B139:$E139,I$113:I$116)</f>
        <v>7941.7181281588655</v>
      </c>
      <c r="P139" s="7">
        <f>MMULT($B139:$E139,J$113:J$116)</f>
        <v>1</v>
      </c>
    </row>
    <row r="140" spans="1:16" x14ac:dyDescent="0.25">
      <c r="A140" s="13" t="s">
        <v>26</v>
      </c>
      <c r="B140" s="6">
        <f>B120</f>
        <v>440</v>
      </c>
      <c r="C140">
        <f>0.4*C120</f>
        <v>324</v>
      </c>
      <c r="D140">
        <v>0</v>
      </c>
      <c r="E140" s="14">
        <v>1</v>
      </c>
      <c r="L140" s="12" t="s">
        <v>26</v>
      </c>
      <c r="M140" s="4">
        <f>MMULT($B140:$E140,G$113:G$116)</f>
        <v>-330.47956691795127</v>
      </c>
      <c r="N140" s="4">
        <f>MMULT($B140:$E140,H$113:H$116)</f>
        <v>-1003.3726400942961</v>
      </c>
      <c r="O140" s="4">
        <f>MMULT($B140:$E140,I$113:I$116)</f>
        <v>7847.8982077097298</v>
      </c>
      <c r="P140" s="7">
        <f>MMULT($B140:$E140,J$113:J$116)</f>
        <v>1</v>
      </c>
    </row>
    <row r="141" spans="1:16" x14ac:dyDescent="0.25">
      <c r="A141" s="13" t="s">
        <v>27</v>
      </c>
      <c r="B141" s="6">
        <f>B120</f>
        <v>440</v>
      </c>
      <c r="C141">
        <f>0.4*C120</f>
        <v>324</v>
      </c>
      <c r="D141">
        <f>D120</f>
        <v>960</v>
      </c>
      <c r="E141" s="14">
        <v>1</v>
      </c>
      <c r="L141" s="12" t="s">
        <v>27</v>
      </c>
      <c r="M141" s="4">
        <f>MMULT($B141:$E141,G$113:G$116)</f>
        <v>-330.47956691795127</v>
      </c>
      <c r="N141" s="4">
        <f>MMULT($B141:$E141,H$113:H$116)</f>
        <v>-656.3888455034089</v>
      </c>
      <c r="O141" s="4">
        <f>MMULT($B141:$E141,I$113:I$116)</f>
        <v>6952.7991929123109</v>
      </c>
      <c r="P141" s="7">
        <f>MMULT($B141:$E141,J$113:J$116)</f>
        <v>1</v>
      </c>
    </row>
    <row r="142" spans="1:16" x14ac:dyDescent="0.25">
      <c r="A142" s="13" t="s">
        <v>28</v>
      </c>
      <c r="B142" s="6">
        <f>0.7*B120</f>
        <v>308</v>
      </c>
      <c r="C142">
        <f>0.4*C120</f>
        <v>324</v>
      </c>
      <c r="D142">
        <f>D120</f>
        <v>960</v>
      </c>
      <c r="E142" s="14">
        <v>1</v>
      </c>
      <c r="L142" s="12" t="s">
        <v>28</v>
      </c>
      <c r="M142" s="4">
        <f>MMULT($B142:$E142,G$113:G$116)</f>
        <v>-224.72819206057028</v>
      </c>
      <c r="N142" s="4">
        <f>MMULT($B142:$E142,H$113:H$116)</f>
        <v>-582.73174058606185</v>
      </c>
      <c r="O142" s="4">
        <f>MMULT($B142:$E142,I$113:I$116)</f>
        <v>6981.3522594896267</v>
      </c>
      <c r="P142" s="7">
        <f>MMULT($B142:$E142,J$113:J$116)</f>
        <v>1</v>
      </c>
    </row>
    <row r="143" spans="1:16" x14ac:dyDescent="0.25">
      <c r="A143" s="14" t="s">
        <v>0</v>
      </c>
      <c r="B143">
        <f>0.7*B120</f>
        <v>308</v>
      </c>
      <c r="C143">
        <f>0.4*C120</f>
        <v>324</v>
      </c>
      <c r="D143">
        <v>0</v>
      </c>
      <c r="E143" s="14">
        <v>1</v>
      </c>
      <c r="L143" s="12" t="s">
        <v>0</v>
      </c>
      <c r="M143" s="4">
        <f>MMULT($B143:$E143,G$113:G$116)</f>
        <v>-224.72819206057028</v>
      </c>
      <c r="N143" s="4">
        <f>MMULT($B143:$E143,H$113:H$116)</f>
        <v>-929.71553517694906</v>
      </c>
      <c r="O143" s="4">
        <f>MMULT($B143:$E143,I$113:I$116)</f>
        <v>7876.4512742870456</v>
      </c>
      <c r="P143" s="7">
        <f>MMULT($B143:$E143,J$113:J$116)</f>
        <v>1</v>
      </c>
    </row>
    <row r="144" spans="1:16" x14ac:dyDescent="0.25">
      <c r="A144" s="14" t="s">
        <v>1</v>
      </c>
      <c r="B144">
        <f>0.25*B120</f>
        <v>110</v>
      </c>
      <c r="C144">
        <f>0.15*C120</f>
        <v>121.5</v>
      </c>
      <c r="D144">
        <f>D120</f>
        <v>960</v>
      </c>
      <c r="E144" s="14">
        <v>1</v>
      </c>
      <c r="L144" s="12" t="s">
        <v>1</v>
      </c>
      <c r="M144" s="4">
        <f>MMULT($B144:$E144,G$113:G$116)</f>
        <v>-187.29088135350366</v>
      </c>
      <c r="N144" s="4">
        <f>MMULT($B144:$E144,H$113:H$116)</f>
        <v>-320.98160113709588</v>
      </c>
      <c r="O144" s="4">
        <f>MMULT($B144:$E144,I$113:I$116)</f>
        <v>7082.8193096363102</v>
      </c>
      <c r="P144" s="7">
        <f>MMULT($B144:$E144,J$113:J$116)</f>
        <v>1</v>
      </c>
    </row>
    <row r="145" spans="1:16" ht="13.8" thickBot="1" x14ac:dyDescent="0.3">
      <c r="A145" s="16" t="s">
        <v>2</v>
      </c>
      <c r="B145" s="28">
        <f>0.6*B120</f>
        <v>264</v>
      </c>
      <c r="C145" s="8">
        <f>0.15*C120</f>
        <v>121.5</v>
      </c>
      <c r="D145" s="8">
        <f>D120</f>
        <v>960</v>
      </c>
      <c r="E145" s="16">
        <v>1</v>
      </c>
      <c r="L145" s="55" t="s">
        <v>2</v>
      </c>
      <c r="M145" s="8">
        <f>MMULT($B145:$E145,G$113:G$116)</f>
        <v>-310.6674853537815</v>
      </c>
      <c r="N145" s="8">
        <f>MMULT($B145:$E145,H$113:H$116)</f>
        <v>-406.91489020733417</v>
      </c>
      <c r="O145" s="8">
        <f>MMULT($B145:$E145,I$113:I$116)</f>
        <v>7049.5073986294419</v>
      </c>
      <c r="P145" s="9">
        <f>MMULT($B145:$E145,J$113:J$116)</f>
        <v>1</v>
      </c>
    </row>
    <row r="147" spans="1:16" x14ac:dyDescent="0.25">
      <c r="A147" s="42" t="s">
        <v>67</v>
      </c>
    </row>
    <row r="148" spans="1:16" ht="13.8" thickBot="1" x14ac:dyDescent="0.3">
      <c r="D148" s="57"/>
      <c r="J148" s="57"/>
      <c r="K148" s="4"/>
      <c r="L148" s="4"/>
      <c r="M148" s="4"/>
      <c r="N148" s="4"/>
    </row>
    <row r="149" spans="1:16" x14ac:dyDescent="0.25">
      <c r="A149" s="24" t="s">
        <v>3</v>
      </c>
      <c r="B149" s="10">
        <f>VLOOKUP(A149, $L$113:$P$145, 3)</f>
        <v>-515.82578571976001</v>
      </c>
      <c r="C149" s="11">
        <f>VLOOKUP(A149, $L$113:$P$145, 2)</f>
        <v>-171.87858658642244</v>
      </c>
      <c r="J149" s="4"/>
      <c r="K149" s="4"/>
      <c r="L149" s="4"/>
      <c r="M149" s="4"/>
      <c r="N149" s="4"/>
    </row>
    <row r="150" spans="1:16" x14ac:dyDescent="0.25">
      <c r="A150" s="6" t="s">
        <v>25</v>
      </c>
      <c r="B150" s="4">
        <f t="shared" ref="B150" si="23">VLOOKUP(A150, $L$113:$P$145, 3)</f>
        <v>-761.34946877758364</v>
      </c>
      <c r="C150" s="7">
        <f t="shared" ref="C150:C201" si="24">VLOOKUP(A150, $L$113:$P$145, 2)</f>
        <v>-524.38316944435905</v>
      </c>
      <c r="J150" s="13"/>
      <c r="K150" s="57"/>
      <c r="L150" s="57"/>
      <c r="M150" s="57"/>
      <c r="N150" s="57"/>
    </row>
    <row r="151" spans="1:16" x14ac:dyDescent="0.25">
      <c r="A151" s="6" t="s">
        <v>26</v>
      </c>
      <c r="B151" s="4">
        <f t="shared" ref="B151" si="25">VLOOKUP(A151, $L$113:$P$145, 3)</f>
        <v>-1003.3726400942961</v>
      </c>
      <c r="C151" s="7">
        <f t="shared" si="24"/>
        <v>-330.47956691795127</v>
      </c>
      <c r="J151" s="13"/>
      <c r="K151" s="57"/>
      <c r="L151" s="57"/>
      <c r="M151" s="57"/>
      <c r="N151" s="4"/>
    </row>
    <row r="152" spans="1:16" x14ac:dyDescent="0.25">
      <c r="A152" s="6" t="s">
        <v>0</v>
      </c>
      <c r="B152" s="4">
        <f t="shared" ref="B152" si="26">VLOOKUP(A152, $L$113:$P$145, 3)</f>
        <v>-929.71553517694906</v>
      </c>
      <c r="C152" s="7">
        <f t="shared" si="24"/>
        <v>-224.72819206057028</v>
      </c>
      <c r="J152" s="13"/>
      <c r="K152" s="57"/>
      <c r="L152" s="57"/>
      <c r="M152" s="57"/>
      <c r="N152" s="4"/>
    </row>
    <row r="153" spans="1:16" x14ac:dyDescent="0.25">
      <c r="A153" s="6" t="s">
        <v>22</v>
      </c>
      <c r="B153" s="4">
        <f t="shared" ref="B153" si="27">VLOOKUP(A153, $L$113:$P$145, 3)</f>
        <v>-1292.7502921520177</v>
      </c>
      <c r="C153" s="7">
        <f t="shared" si="24"/>
        <v>66.127211729041505</v>
      </c>
      <c r="J153" s="13"/>
      <c r="K153" s="57"/>
      <c r="L153" s="57"/>
      <c r="M153" s="57"/>
      <c r="N153" s="4"/>
    </row>
    <row r="154" spans="1:16" x14ac:dyDescent="0.25">
      <c r="A154" s="6" t="s">
        <v>21</v>
      </c>
      <c r="B154" s="4">
        <f t="shared" ref="B154" si="28">VLOOKUP(A154, $L$113:$P$145, 3)</f>
        <v>-1120.8837140115411</v>
      </c>
      <c r="C154" s="7">
        <f t="shared" si="24"/>
        <v>312.88041972959718</v>
      </c>
      <c r="J154" s="13"/>
      <c r="K154" s="57"/>
      <c r="L154" s="57"/>
      <c r="M154" s="57"/>
      <c r="N154" s="4"/>
    </row>
    <row r="155" spans="1:16" x14ac:dyDescent="0.25">
      <c r="A155" s="6" t="s">
        <v>3</v>
      </c>
      <c r="B155" s="4">
        <f t="shared" ref="B155" si="29">VLOOKUP(A155, $L$113:$P$145, 3)</f>
        <v>-515.82578571976001</v>
      </c>
      <c r="C155" s="7">
        <f t="shared" si="24"/>
        <v>-171.87858658642244</v>
      </c>
      <c r="J155" s="13"/>
      <c r="K155" s="57"/>
      <c r="L155" s="57"/>
      <c r="M155" s="57"/>
      <c r="N155" s="4"/>
    </row>
    <row r="156" spans="1:16" x14ac:dyDescent="0.25">
      <c r="A156" s="6"/>
      <c r="B156" s="4"/>
      <c r="C156" s="7"/>
      <c r="J156" s="13"/>
      <c r="K156" s="57"/>
      <c r="L156" s="57"/>
      <c r="M156" s="57"/>
      <c r="N156" s="4"/>
    </row>
    <row r="157" spans="1:16" x14ac:dyDescent="0.25">
      <c r="A157" s="6" t="s">
        <v>16</v>
      </c>
      <c r="B157" s="4">
        <f t="shared" ref="B157" si="30">VLOOKUP(A157, $L$113:$P$145, 3)</f>
        <v>-217.9467277404375</v>
      </c>
      <c r="C157" s="7">
        <f t="shared" si="24"/>
        <v>-242.37950315800978</v>
      </c>
      <c r="J157" s="13"/>
      <c r="K157" s="57"/>
      <c r="L157" s="57"/>
      <c r="M157" s="57"/>
      <c r="N157" s="4"/>
    </row>
    <row r="158" spans="1:16" x14ac:dyDescent="0.25">
      <c r="A158" s="6" t="s">
        <v>24</v>
      </c>
      <c r="B158" s="4">
        <f t="shared" ref="B158" si="31">VLOOKUP(A158, $L$113:$P$145, 3)</f>
        <v>-414.36567418669642</v>
      </c>
      <c r="C158" s="7">
        <f t="shared" si="24"/>
        <v>-524.38316944435905</v>
      </c>
      <c r="J158" s="13"/>
      <c r="K158" s="57"/>
      <c r="L158" s="57"/>
      <c r="M158" s="57"/>
      <c r="N158" s="4"/>
    </row>
    <row r="159" spans="1:16" x14ac:dyDescent="0.25">
      <c r="A159" s="6" t="s">
        <v>27</v>
      </c>
      <c r="B159" s="4">
        <f t="shared" ref="B159" si="32">VLOOKUP(A159, $L$113:$P$145, 3)</f>
        <v>-656.3888455034089</v>
      </c>
      <c r="C159" s="7">
        <f t="shared" si="24"/>
        <v>-330.47956691795127</v>
      </c>
      <c r="J159" s="13"/>
      <c r="K159" s="57"/>
      <c r="L159" s="57"/>
      <c r="M159" s="57"/>
      <c r="N159" s="4"/>
    </row>
    <row r="160" spans="1:16" x14ac:dyDescent="0.25">
      <c r="A160" s="6" t="s">
        <v>28</v>
      </c>
      <c r="B160" s="4">
        <f t="shared" ref="B160" si="33">VLOOKUP(A160, $L$113:$P$145, 3)</f>
        <v>-582.73174058606185</v>
      </c>
      <c r="C160" s="7">
        <f t="shared" si="24"/>
        <v>-224.72819206057028</v>
      </c>
      <c r="J160" s="13"/>
      <c r="K160" s="57"/>
      <c r="L160" s="57"/>
      <c r="M160" s="57"/>
      <c r="N160" s="4"/>
    </row>
    <row r="161" spans="1:14" x14ac:dyDescent="0.25">
      <c r="A161" s="6" t="s">
        <v>23</v>
      </c>
      <c r="B161" s="4">
        <f t="shared" ref="B161" si="34">VLOOKUP(A161, $L$113:$P$145, 3)</f>
        <v>-945.76649756113056</v>
      </c>
      <c r="C161" s="7">
        <f t="shared" si="24"/>
        <v>66.127211729041505</v>
      </c>
      <c r="J161" s="13"/>
      <c r="K161" s="57"/>
      <c r="L161" s="57"/>
      <c r="M161" s="57"/>
      <c r="N161" s="4"/>
    </row>
    <row r="162" spans="1:14" x14ac:dyDescent="0.25">
      <c r="A162" s="6" t="s">
        <v>17</v>
      </c>
      <c r="B162" s="4">
        <f t="shared" ref="B162" si="35">VLOOKUP(A162, $L$113:$P$145, 3)</f>
        <v>-823.00465603221869</v>
      </c>
      <c r="C162" s="7">
        <f t="shared" si="24"/>
        <v>242.37950315800981</v>
      </c>
      <c r="J162" s="13"/>
      <c r="K162" s="57"/>
      <c r="L162" s="57"/>
      <c r="M162" s="57"/>
      <c r="N162" s="4"/>
    </row>
    <row r="163" spans="1:14" x14ac:dyDescent="0.25">
      <c r="A163" s="6" t="s">
        <v>16</v>
      </c>
      <c r="B163" s="4">
        <f t="shared" ref="B163" si="36">VLOOKUP(A163, $L$113:$P$145, 3)</f>
        <v>-217.9467277404375</v>
      </c>
      <c r="C163" s="7">
        <f t="shared" si="24"/>
        <v>-242.37950315800978</v>
      </c>
      <c r="J163" s="13"/>
      <c r="K163" s="57"/>
      <c r="L163" s="57"/>
      <c r="M163" s="57"/>
      <c r="N163" s="4"/>
    </row>
    <row r="164" spans="1:14" x14ac:dyDescent="0.25">
      <c r="A164" s="6"/>
      <c r="B164" s="4"/>
      <c r="C164" s="7"/>
      <c r="J164" s="13"/>
      <c r="K164" s="57"/>
      <c r="L164" s="57"/>
      <c r="M164" s="57"/>
      <c r="N164" s="4"/>
    </row>
    <row r="165" spans="1:14" x14ac:dyDescent="0.25">
      <c r="A165" s="6" t="s">
        <v>6</v>
      </c>
      <c r="B165" s="4">
        <f t="shared" ref="B165" si="37">VLOOKUP(A165, $L$113:$P$145, 3)</f>
        <v>525.12559805290175</v>
      </c>
      <c r="C165" s="7">
        <f t="shared" si="24"/>
        <v>-171.87858658642244</v>
      </c>
      <c r="J165" s="13"/>
      <c r="K165" s="57"/>
      <c r="L165" s="57"/>
      <c r="M165" s="57"/>
      <c r="N165" s="4"/>
    </row>
    <row r="166" spans="1:14" x14ac:dyDescent="0.25">
      <c r="A166" s="6" t="s">
        <v>7</v>
      </c>
      <c r="B166" s="4">
        <f t="shared" ref="B166" si="38">VLOOKUP(A166, $L$113:$P$145, 3)</f>
        <v>476.02086144133705</v>
      </c>
      <c r="C166" s="7">
        <f t="shared" si="24"/>
        <v>-242.37950315800978</v>
      </c>
      <c r="J166" s="13"/>
      <c r="K166" s="57"/>
      <c r="L166" s="57"/>
      <c r="M166" s="57"/>
      <c r="N166" s="4"/>
    </row>
    <row r="167" spans="1:14" x14ac:dyDescent="0.25">
      <c r="A167" s="6" t="s">
        <v>8</v>
      </c>
      <c r="B167" s="4">
        <f t="shared" ref="B167" si="39">VLOOKUP(A167, $L$113:$P$145, 3)</f>
        <v>294.50348295380263</v>
      </c>
      <c r="C167" s="7">
        <f t="shared" si="24"/>
        <v>-96.95180126320389</v>
      </c>
      <c r="J167" s="13"/>
      <c r="K167" s="57"/>
      <c r="L167" s="57"/>
      <c r="M167" s="57"/>
      <c r="N167" s="4"/>
    </row>
    <row r="168" spans="1:14" x14ac:dyDescent="0.25">
      <c r="A168" s="6" t="s">
        <v>10</v>
      </c>
      <c r="B168" s="4">
        <f t="shared" ref="B168" si="40">VLOOKUP(A168, $L$113:$P$145, 3)</f>
        <v>343.60821956536734</v>
      </c>
      <c r="C168" s="7">
        <f t="shared" si="24"/>
        <v>-26.450884691616551</v>
      </c>
      <c r="J168" s="13"/>
      <c r="K168" s="57"/>
      <c r="L168" s="57"/>
      <c r="M168" s="57"/>
      <c r="N168" s="4"/>
    </row>
    <row r="169" spans="1:14" x14ac:dyDescent="0.25">
      <c r="A169" s="6" t="s">
        <v>6</v>
      </c>
      <c r="B169" s="4">
        <f t="shared" ref="B169" si="41">VLOOKUP(A169, $L$113:$P$145, 3)</f>
        <v>525.12559805290175</v>
      </c>
      <c r="C169" s="7">
        <f t="shared" si="24"/>
        <v>-171.87858658642244</v>
      </c>
      <c r="J169" s="13"/>
      <c r="K169" s="57"/>
      <c r="L169" s="57"/>
      <c r="M169" s="57"/>
      <c r="N169" s="4"/>
    </row>
    <row r="170" spans="1:14" x14ac:dyDescent="0.25">
      <c r="A170" s="6"/>
      <c r="B170" s="4"/>
      <c r="C170" s="7"/>
      <c r="J170" s="13"/>
      <c r="K170" s="57"/>
      <c r="L170" s="57"/>
      <c r="M170" s="57"/>
      <c r="N170" s="4"/>
    </row>
    <row r="171" spans="1:14" x14ac:dyDescent="0.25">
      <c r="A171" s="6" t="s">
        <v>13</v>
      </c>
      <c r="B171" s="4">
        <f t="shared" ref="B171" si="42">VLOOKUP(A171, $L$113:$P$145, 3)</f>
        <v>52.480311637090153</v>
      </c>
      <c r="C171" s="7">
        <f t="shared" si="24"/>
        <v>96.951801263203947</v>
      </c>
      <c r="J171" s="13"/>
      <c r="K171" s="57"/>
      <c r="L171" s="57"/>
      <c r="M171" s="57"/>
      <c r="N171" s="4"/>
    </row>
    <row r="172" spans="1:14" x14ac:dyDescent="0.25">
      <c r="A172" s="6" t="s">
        <v>14</v>
      </c>
      <c r="B172" s="4">
        <f t="shared" ref="B172" si="43">VLOOKUP(A172, $L$113:$P$145, 3)</f>
        <v>-129.03706685044415</v>
      </c>
      <c r="C172" s="7">
        <f t="shared" si="24"/>
        <v>242.37950315800981</v>
      </c>
      <c r="J172" s="13"/>
      <c r="K172" s="57"/>
      <c r="L172" s="57"/>
      <c r="M172" s="57"/>
      <c r="N172" s="4"/>
    </row>
    <row r="173" spans="1:14" x14ac:dyDescent="0.25">
      <c r="A173" s="6" t="s">
        <v>15</v>
      </c>
      <c r="B173" s="4">
        <f t="shared" ref="B173" si="44">VLOOKUP(A173, $L$113:$P$145, 3)</f>
        <v>-79.932330238879445</v>
      </c>
      <c r="C173" s="7">
        <f t="shared" si="24"/>
        <v>312.88041972959718</v>
      </c>
      <c r="J173" s="13"/>
      <c r="K173" s="57"/>
      <c r="L173" s="57"/>
      <c r="M173" s="57"/>
      <c r="N173" s="4"/>
    </row>
    <row r="174" spans="1:14" x14ac:dyDescent="0.25">
      <c r="A174" s="6" t="s">
        <v>4</v>
      </c>
      <c r="B174" s="4">
        <f t="shared" ref="B174" si="45">VLOOKUP(A174, $L$113:$P$145, 3)</f>
        <v>101.58504824865486</v>
      </c>
      <c r="C174" s="7">
        <f t="shared" si="24"/>
        <v>167.45271783479131</v>
      </c>
      <c r="J174" s="13"/>
      <c r="K174" s="57"/>
      <c r="L174" s="57"/>
      <c r="M174" s="57"/>
      <c r="N174" s="4"/>
    </row>
    <row r="175" spans="1:14" x14ac:dyDescent="0.25">
      <c r="A175" s="6" t="s">
        <v>13</v>
      </c>
      <c r="B175" s="4">
        <f t="shared" ref="B175" si="46">VLOOKUP(A175, $L$113:$P$145, 3)</f>
        <v>52.480311637090153</v>
      </c>
      <c r="C175" s="7">
        <f t="shared" si="24"/>
        <v>96.951801263203947</v>
      </c>
      <c r="J175" s="13"/>
      <c r="K175" s="57"/>
      <c r="L175" s="57"/>
      <c r="M175" s="57"/>
      <c r="N175" s="4"/>
    </row>
    <row r="176" spans="1:14" x14ac:dyDescent="0.25">
      <c r="A176" s="6"/>
      <c r="B176" s="4"/>
      <c r="C176" s="7"/>
      <c r="J176" s="13"/>
      <c r="K176" s="57"/>
      <c r="L176" s="57"/>
      <c r="M176" s="57"/>
      <c r="N176" s="4"/>
    </row>
    <row r="177" spans="1:14" x14ac:dyDescent="0.25">
      <c r="A177" s="6" t="s">
        <v>12</v>
      </c>
      <c r="B177" s="4">
        <f t="shared" ref="B177" si="47">VLOOKUP(A177, $L$113:$P$145, 3)</f>
        <v>746.44790081886458</v>
      </c>
      <c r="C177" s="7">
        <f t="shared" si="24"/>
        <v>96.951801263203947</v>
      </c>
      <c r="J177" s="13"/>
      <c r="K177" s="57"/>
      <c r="L177" s="57"/>
      <c r="M177" s="57"/>
      <c r="N177" s="4"/>
    </row>
    <row r="178" spans="1:14" x14ac:dyDescent="0.25">
      <c r="A178" s="6" t="s">
        <v>29</v>
      </c>
      <c r="B178" s="4">
        <f t="shared" ref="B178" si="48">VLOOKUP(A178, $L$113:$P$145, 3)</f>
        <v>795.55263743042929</v>
      </c>
      <c r="C178" s="7">
        <f t="shared" si="24"/>
        <v>167.45271783479131</v>
      </c>
      <c r="J178" s="13"/>
      <c r="K178" s="57"/>
      <c r="L178" s="57"/>
      <c r="M178" s="57"/>
      <c r="N178" s="4"/>
    </row>
    <row r="179" spans="1:14" x14ac:dyDescent="0.25">
      <c r="A179" s="6" t="s">
        <v>9</v>
      </c>
      <c r="B179" s="4">
        <f t="shared" ref="B179" si="49">VLOOKUP(A179, $L$113:$P$145, 3)</f>
        <v>1037.5758087471418</v>
      </c>
      <c r="C179" s="7">
        <f t="shared" si="24"/>
        <v>-26.450884691616551</v>
      </c>
      <c r="J179" s="13"/>
      <c r="K179" s="57"/>
      <c r="L179" s="57"/>
      <c r="M179" s="57"/>
      <c r="N179" s="4"/>
    </row>
    <row r="180" spans="1:14" x14ac:dyDescent="0.25">
      <c r="A180" s="6" t="s">
        <v>5</v>
      </c>
      <c r="B180" s="4">
        <f t="shared" ref="B180" si="50">VLOOKUP(A180, $L$113:$P$145, 3)</f>
        <v>988.47107213557706</v>
      </c>
      <c r="C180" s="7">
        <f t="shared" si="24"/>
        <v>-96.95180126320389</v>
      </c>
      <c r="J180" s="13"/>
      <c r="K180" s="57"/>
      <c r="L180" s="57"/>
      <c r="M180" s="57"/>
      <c r="N180" s="4"/>
    </row>
    <row r="181" spans="1:14" x14ac:dyDescent="0.25">
      <c r="A181" s="6" t="s">
        <v>12</v>
      </c>
      <c r="B181" s="4">
        <f t="shared" ref="B181" si="51">VLOOKUP(A181, $L$113:$P$145, 3)</f>
        <v>746.44790081886458</v>
      </c>
      <c r="C181" s="7">
        <f t="shared" si="24"/>
        <v>96.951801263203947</v>
      </c>
      <c r="J181" s="13"/>
      <c r="K181" s="57"/>
      <c r="L181" s="57"/>
      <c r="M181" s="57"/>
      <c r="N181" s="4"/>
    </row>
    <row r="182" spans="1:14" x14ac:dyDescent="0.25">
      <c r="A182" s="6"/>
      <c r="B182" s="4"/>
      <c r="C182" s="7"/>
      <c r="J182" s="13"/>
      <c r="K182" s="57"/>
      <c r="L182" s="57"/>
      <c r="M182" s="57"/>
      <c r="N182" s="4"/>
    </row>
    <row r="183" spans="1:14" x14ac:dyDescent="0.25">
      <c r="A183" s="6" t="s">
        <v>6</v>
      </c>
      <c r="B183" s="4">
        <f t="shared" ref="B183" si="52">VLOOKUP(A183, $L$113:$P$145, 3)</f>
        <v>525.12559805290175</v>
      </c>
      <c r="C183" s="7">
        <f t="shared" si="24"/>
        <v>-171.87858658642244</v>
      </c>
    </row>
    <row r="184" spans="1:14" x14ac:dyDescent="0.25">
      <c r="A184" s="6" t="s">
        <v>3</v>
      </c>
      <c r="B184" s="4">
        <f t="shared" ref="B184" si="53">VLOOKUP(A184, $L$113:$P$145, 3)</f>
        <v>-515.82578571976001</v>
      </c>
      <c r="C184" s="7">
        <f t="shared" si="24"/>
        <v>-171.87858658642244</v>
      </c>
    </row>
    <row r="185" spans="1:14" x14ac:dyDescent="0.25">
      <c r="A185" s="6" t="s">
        <v>21</v>
      </c>
      <c r="B185" s="4">
        <f t="shared" ref="B185" si="54">VLOOKUP(A185, $L$113:$P$145, 3)</f>
        <v>-1120.8837140115411</v>
      </c>
      <c r="C185" s="7">
        <f t="shared" si="24"/>
        <v>312.88041972959718</v>
      </c>
    </row>
    <row r="186" spans="1:14" x14ac:dyDescent="0.25">
      <c r="A186" s="6" t="s">
        <v>15</v>
      </c>
      <c r="B186" s="4">
        <f t="shared" ref="B186" si="55">VLOOKUP(A186, $L$113:$P$145, 3)</f>
        <v>-79.932330238879445</v>
      </c>
      <c r="C186" s="7">
        <f t="shared" si="24"/>
        <v>312.88041972959718</v>
      </c>
    </row>
    <row r="187" spans="1:14" x14ac:dyDescent="0.25">
      <c r="A187" s="6" t="s">
        <v>4</v>
      </c>
      <c r="B187" s="4">
        <f t="shared" ref="B187" si="56">VLOOKUP(A187, $L$113:$P$145, 3)</f>
        <v>101.58504824865486</v>
      </c>
      <c r="C187" s="7">
        <f t="shared" si="24"/>
        <v>167.45271783479131</v>
      </c>
    </row>
    <row r="188" spans="1:14" x14ac:dyDescent="0.25">
      <c r="A188" s="6" t="s">
        <v>29</v>
      </c>
      <c r="B188" s="4">
        <f t="shared" ref="B188" si="57">VLOOKUP(A188, $L$113:$P$145, 3)</f>
        <v>795.55263743042929</v>
      </c>
      <c r="C188" s="7">
        <f t="shared" si="24"/>
        <v>167.45271783479131</v>
      </c>
    </row>
    <row r="189" spans="1:14" x14ac:dyDescent="0.25">
      <c r="A189" s="6" t="s">
        <v>9</v>
      </c>
      <c r="B189" s="4">
        <f t="shared" ref="B189" si="58">VLOOKUP(A189, $L$113:$P$145, 3)</f>
        <v>1037.5758087471418</v>
      </c>
      <c r="C189" s="7">
        <f t="shared" si="24"/>
        <v>-26.450884691616551</v>
      </c>
    </row>
    <row r="190" spans="1:14" x14ac:dyDescent="0.25">
      <c r="A190" s="6" t="s">
        <v>10</v>
      </c>
      <c r="B190" s="4">
        <f t="shared" ref="B190" si="59">VLOOKUP(A190, $L$113:$P$145, 3)</f>
        <v>343.60821956536734</v>
      </c>
      <c r="C190" s="7">
        <f t="shared" si="24"/>
        <v>-26.450884691616551</v>
      </c>
    </row>
    <row r="191" spans="1:14" x14ac:dyDescent="0.25">
      <c r="A191" s="6" t="s">
        <v>6</v>
      </c>
      <c r="B191" s="4">
        <f t="shared" ref="B191" si="60">VLOOKUP(A191, $L$113:$P$145, 3)</f>
        <v>525.12559805290175</v>
      </c>
      <c r="C191" s="7">
        <f t="shared" si="24"/>
        <v>-171.87858658642244</v>
      </c>
    </row>
    <row r="192" spans="1:14" x14ac:dyDescent="0.25">
      <c r="A192" s="6"/>
      <c r="B192" s="4"/>
      <c r="C192" s="7"/>
    </row>
    <row r="193" spans="1:3" x14ac:dyDescent="0.25">
      <c r="A193" s="6" t="s">
        <v>7</v>
      </c>
      <c r="B193" s="4">
        <f t="shared" ref="B193" si="61">VLOOKUP(A193, $L$113:$P$145, 3)</f>
        <v>476.02086144133705</v>
      </c>
      <c r="C193" s="7">
        <f t="shared" si="24"/>
        <v>-242.37950315800978</v>
      </c>
    </row>
    <row r="194" spans="1:3" x14ac:dyDescent="0.25">
      <c r="A194" s="6" t="s">
        <v>16</v>
      </c>
      <c r="B194" s="4">
        <f t="shared" ref="B194" si="62">VLOOKUP(A194, $L$113:$P$145, 3)</f>
        <v>-217.9467277404375</v>
      </c>
      <c r="C194" s="7">
        <f t="shared" si="24"/>
        <v>-242.37950315800978</v>
      </c>
    </row>
    <row r="195" spans="1:3" x14ac:dyDescent="0.25">
      <c r="A195" s="6" t="s">
        <v>17</v>
      </c>
      <c r="B195" s="4">
        <f t="shared" ref="B195" si="63">VLOOKUP(A195, $L$113:$P$145, 3)</f>
        <v>-823.00465603221869</v>
      </c>
      <c r="C195" s="7">
        <f t="shared" si="24"/>
        <v>242.37950315800981</v>
      </c>
    </row>
    <row r="196" spans="1:3" x14ac:dyDescent="0.25">
      <c r="A196" s="6" t="s">
        <v>14</v>
      </c>
      <c r="B196" s="4">
        <f t="shared" ref="B196" si="64">VLOOKUP(A196, $L$113:$P$145, 3)</f>
        <v>-129.03706685044415</v>
      </c>
      <c r="C196" s="7">
        <f t="shared" si="24"/>
        <v>242.37950315800981</v>
      </c>
    </row>
    <row r="197" spans="1:3" x14ac:dyDescent="0.25">
      <c r="A197" s="6" t="s">
        <v>13</v>
      </c>
      <c r="B197" s="4">
        <f t="shared" ref="B197" si="65">VLOOKUP(A197, $L$113:$P$145, 3)</f>
        <v>52.480311637090153</v>
      </c>
      <c r="C197" s="7">
        <f t="shared" si="24"/>
        <v>96.951801263203947</v>
      </c>
    </row>
    <row r="198" spans="1:3" x14ac:dyDescent="0.25">
      <c r="A198" s="6" t="s">
        <v>12</v>
      </c>
      <c r="B198" s="4">
        <f t="shared" ref="B198" si="66">VLOOKUP(A198, $L$113:$P$145, 3)</f>
        <v>746.44790081886458</v>
      </c>
      <c r="C198" s="7">
        <f t="shared" si="24"/>
        <v>96.951801263203947</v>
      </c>
    </row>
    <row r="199" spans="1:3" x14ac:dyDescent="0.25">
      <c r="A199" s="6" t="s">
        <v>5</v>
      </c>
      <c r="B199" s="4">
        <f t="shared" ref="B199" si="67">VLOOKUP(A199, $L$113:$P$145, 3)</f>
        <v>988.47107213557706</v>
      </c>
      <c r="C199" s="7">
        <f t="shared" si="24"/>
        <v>-96.95180126320389</v>
      </c>
    </row>
    <row r="200" spans="1:3" x14ac:dyDescent="0.25">
      <c r="A200" s="6" t="s">
        <v>8</v>
      </c>
      <c r="B200" s="4">
        <f t="shared" ref="B200" si="68">VLOOKUP(A200, $L$113:$P$145, 3)</f>
        <v>294.50348295380263</v>
      </c>
      <c r="C200" s="7">
        <f t="shared" si="24"/>
        <v>-96.95180126320389</v>
      </c>
    </row>
    <row r="201" spans="1:3" x14ac:dyDescent="0.25">
      <c r="A201" s="6" t="s">
        <v>7</v>
      </c>
      <c r="B201" s="4">
        <f t="shared" ref="B201" si="69">VLOOKUP(A201, $L$113:$P$145, 3)</f>
        <v>476.02086144133705</v>
      </c>
      <c r="C201" s="7">
        <f t="shared" si="24"/>
        <v>-242.37950315800978</v>
      </c>
    </row>
    <row r="202" spans="1:3" x14ac:dyDescent="0.25">
      <c r="A202" s="6"/>
      <c r="B202" s="4"/>
      <c r="C202" s="7"/>
    </row>
    <row r="203" spans="1:3" x14ac:dyDescent="0.25">
      <c r="A203" s="6" t="s">
        <v>28</v>
      </c>
      <c r="B203" s="4">
        <f>VLOOKUP(A203, $L$113:$P$145, 3)</f>
        <v>-582.73174058606185</v>
      </c>
      <c r="C203" s="7">
        <f>VLOOKUP(A203, $L$113:$P$145, 2)</f>
        <v>-224.72819206057028</v>
      </c>
    </row>
    <row r="204" spans="1:3" x14ac:dyDescent="0.25">
      <c r="A204" s="6" t="s">
        <v>0</v>
      </c>
      <c r="B204" s="4">
        <f>VLOOKUP(A204, $L$113:$P$145, 3)</f>
        <v>-929.71553517694906</v>
      </c>
      <c r="C204" s="7">
        <f>VLOOKUP(A204, $L$113:$P$145, 2)</f>
        <v>-224.72819206057028</v>
      </c>
    </row>
    <row r="205" spans="1:3" x14ac:dyDescent="0.25">
      <c r="A205" s="6" t="s">
        <v>22</v>
      </c>
      <c r="B205" s="4">
        <f>VLOOKUP(A205, $L$113:$P$145, 3)</f>
        <v>-1292.7502921520177</v>
      </c>
      <c r="C205" s="7">
        <f>VLOOKUP(A205, $L$113:$P$145, 2)</f>
        <v>66.127211729041505</v>
      </c>
    </row>
    <row r="206" spans="1:3" x14ac:dyDescent="0.25">
      <c r="A206" s="6" t="s">
        <v>23</v>
      </c>
      <c r="B206" s="4">
        <f>VLOOKUP(A206, $L$113:$P$145, 3)</f>
        <v>-945.76649756113056</v>
      </c>
      <c r="C206" s="7">
        <f>VLOOKUP(A206, $L$113:$P$145, 2)</f>
        <v>66.127211729041505</v>
      </c>
    </row>
    <row r="207" spans="1:3" x14ac:dyDescent="0.25">
      <c r="A207" s="6" t="s">
        <v>28</v>
      </c>
      <c r="B207" s="4">
        <f>VLOOKUP(A207, $L$113:$P$145, 3)</f>
        <v>-582.73174058606185</v>
      </c>
      <c r="C207" s="7">
        <f>VLOOKUP(A207, $L$113:$P$145, 2)</f>
        <v>-224.72819206057028</v>
      </c>
    </row>
    <row r="208" spans="1:3" x14ac:dyDescent="0.25">
      <c r="A208" s="6"/>
      <c r="B208" s="4"/>
      <c r="C208" s="7"/>
    </row>
    <row r="209" spans="1:3" x14ac:dyDescent="0.25">
      <c r="A209" s="6" t="s">
        <v>24</v>
      </c>
      <c r="B209" s="4">
        <f>VLOOKUP(A209, $L$113:$P$145, 3)</f>
        <v>-414.36567418669642</v>
      </c>
      <c r="C209" s="7">
        <f>VLOOKUP(A209, $L$113:$P$145, 2)</f>
        <v>-524.38316944435905</v>
      </c>
    </row>
    <row r="210" spans="1:3" x14ac:dyDescent="0.25">
      <c r="A210" s="6" t="s">
        <v>25</v>
      </c>
      <c r="B210" s="4">
        <f>VLOOKUP(A210, $L$113:$P$145, 3)</f>
        <v>-761.34946877758364</v>
      </c>
      <c r="C210" s="7">
        <f>VLOOKUP(A210, $L$113:$P$145, 2)</f>
        <v>-524.38316944435905</v>
      </c>
    </row>
    <row r="211" spans="1:3" x14ac:dyDescent="0.25">
      <c r="A211" s="6" t="s">
        <v>26</v>
      </c>
      <c r="B211" s="4">
        <f>VLOOKUP(A211, $L$113:$P$145, 3)</f>
        <v>-1003.3726400942961</v>
      </c>
      <c r="C211" s="7">
        <f>VLOOKUP(A211, $L$113:$P$145, 2)</f>
        <v>-330.47956691795127</v>
      </c>
    </row>
    <row r="212" spans="1:3" x14ac:dyDescent="0.25">
      <c r="A212" s="6" t="s">
        <v>27</v>
      </c>
      <c r="B212" s="4">
        <f>VLOOKUP(A212, $L$113:$P$145, 3)</f>
        <v>-656.3888455034089</v>
      </c>
      <c r="C212" s="7">
        <f>VLOOKUP(A212, $L$113:$P$145, 2)</f>
        <v>-330.47956691795127</v>
      </c>
    </row>
    <row r="213" spans="1:3" x14ac:dyDescent="0.25">
      <c r="A213" s="6" t="s">
        <v>24</v>
      </c>
      <c r="B213" s="4">
        <f>VLOOKUP(A213, $L$113:$P$145, 3)</f>
        <v>-414.36567418669642</v>
      </c>
      <c r="C213" s="7">
        <f>VLOOKUP(A213, $L$113:$P$145, 2)</f>
        <v>-524.38316944435905</v>
      </c>
    </row>
    <row r="214" spans="1:3" x14ac:dyDescent="0.25">
      <c r="A214" s="6"/>
      <c r="B214" s="4"/>
      <c r="C214" s="7"/>
    </row>
    <row r="215" spans="1:3" x14ac:dyDescent="0.25">
      <c r="A215" s="6" t="s">
        <v>1</v>
      </c>
      <c r="B215" s="4">
        <f>VLOOKUP(A215, $L$113:$P$145, 3)</f>
        <v>-320.98160113709588</v>
      </c>
      <c r="C215" s="7">
        <f>VLOOKUP(A215, $L$113:$P$145, 2)</f>
        <v>-187.29088135350366</v>
      </c>
    </row>
    <row r="216" spans="1:3" x14ac:dyDescent="0.25">
      <c r="A216" s="6" t="s">
        <v>2</v>
      </c>
      <c r="B216" s="4">
        <f>VLOOKUP(A216, $L$113:$P$145, 3)</f>
        <v>-406.91489020733417</v>
      </c>
      <c r="C216" s="7">
        <f>VLOOKUP(A216, $L$113:$P$145, 2)</f>
        <v>-310.6674853537815</v>
      </c>
    </row>
    <row r="217" spans="1:3" x14ac:dyDescent="0.25">
      <c r="A217" s="6" t="s">
        <v>32</v>
      </c>
      <c r="B217" s="4">
        <f>VLOOKUP(A217, $L$113:$P$145, 3)</f>
        <v>-618.68516510945756</v>
      </c>
      <c r="C217" s="7">
        <f>VLOOKUP(A217, $L$113:$P$145, 2)</f>
        <v>-141.00183314317465</v>
      </c>
    </row>
    <row r="218" spans="1:3" x14ac:dyDescent="0.25">
      <c r="A218" s="6"/>
      <c r="B218" s="4"/>
      <c r="C218" s="7"/>
    </row>
    <row r="219" spans="1:3" x14ac:dyDescent="0.25">
      <c r="A219" s="58" t="s">
        <v>30</v>
      </c>
      <c r="B219" s="4">
        <f>VLOOKUP(A219, $L$113:$P$145, 3)</f>
        <v>-436.29265868664544</v>
      </c>
      <c r="C219" s="7">
        <f>VLOOKUP(A219, $L$113:$P$145, 2)</f>
        <v>-149.82748869189439</v>
      </c>
    </row>
    <row r="220" spans="1:3" x14ac:dyDescent="0.25">
      <c r="A220" s="58" t="s">
        <v>31</v>
      </c>
      <c r="B220" s="4">
        <f>VLOOKUP(A220, $L$113:$P$145, 3)</f>
        <v>-583.60686852133961</v>
      </c>
      <c r="C220" s="7">
        <f>VLOOKUP(A220, $L$113:$P$145, 2)</f>
        <v>-361.33023840665635</v>
      </c>
    </row>
    <row r="221" spans="1:3" x14ac:dyDescent="0.25">
      <c r="A221" s="58"/>
      <c r="B221" s="4"/>
      <c r="C221" s="7"/>
    </row>
    <row r="222" spans="1:3" x14ac:dyDescent="0.25">
      <c r="A222" s="58" t="s">
        <v>34</v>
      </c>
      <c r="B222" s="4">
        <f>VLOOKUP(A222, $L$113:$P$145, 3)</f>
        <v>784.72627842554448</v>
      </c>
      <c r="C222" s="7">
        <f>VLOOKUP(A222, $L$113:$P$145, 2)</f>
        <v>-72.713850947402904</v>
      </c>
    </row>
    <row r="223" spans="1:3" x14ac:dyDescent="0.25">
      <c r="A223" s="58" t="s">
        <v>37</v>
      </c>
      <c r="B223" s="4">
        <f>VLOOKUP(A223, $L$113:$P$145, 3)</f>
        <v>2.7284841053187847E-12</v>
      </c>
      <c r="C223" s="7">
        <f>VLOOKUP(A223, $L$113:$P$145, 2)</f>
        <v>2.8421709430404007E-14</v>
      </c>
    </row>
    <row r="224" spans="1:3" ht="13.8" thickBot="1" x14ac:dyDescent="0.3">
      <c r="A224" s="59" t="s">
        <v>38</v>
      </c>
      <c r="B224" s="8">
        <f>VLOOKUP(A224, $L$113:$P$145, 3)</f>
        <v>82.733208051679185</v>
      </c>
      <c r="C224" s="9">
        <f>VLOOKUP(A224, $L$113:$P$145, 2)</f>
        <v>72.71385094740296</v>
      </c>
    </row>
    <row r="226" spans="1:20" ht="13.8" thickBot="1" x14ac:dyDescent="0.3">
      <c r="A226" s="53" t="s">
        <v>68</v>
      </c>
      <c r="I226" t="s">
        <v>73</v>
      </c>
      <c r="J226" t="s">
        <v>74</v>
      </c>
      <c r="K226" t="s">
        <v>75</v>
      </c>
      <c r="L226" t="s">
        <v>4</v>
      </c>
      <c r="O226" t="s">
        <v>71</v>
      </c>
      <c r="P226" t="s">
        <v>72</v>
      </c>
    </row>
    <row r="227" spans="1:20" ht="13.8" thickBot="1" x14ac:dyDescent="0.3">
      <c r="H227" s="54" t="s">
        <v>3</v>
      </c>
      <c r="I227" s="10">
        <f>MMULT($M113:$P113,C$228:C$231)</f>
        <v>-171.87858658642244</v>
      </c>
      <c r="J227" s="10">
        <f>MMULT($M113:$P113,D$228:D$231)</f>
        <v>-515.82578571976001</v>
      </c>
      <c r="K227" s="10">
        <f>MMULT($M113:$P113,E$228:E$231)</f>
        <v>8036.895016749917</v>
      </c>
      <c r="L227" s="11">
        <f>MMULT($M113:$P113,F$228:F$231)</f>
        <v>17.073790033499833</v>
      </c>
      <c r="N227" s="54" t="s">
        <v>3</v>
      </c>
      <c r="O227" s="10">
        <f>I227/L227</f>
        <v>-10.066809199901487</v>
      </c>
      <c r="P227" s="11">
        <f>J227/L227</f>
        <v>-30.211557287964645</v>
      </c>
      <c r="R227" s="24" t="s">
        <v>3</v>
      </c>
      <c r="S227" s="10">
        <f>VLOOKUP(R227, $N$227:$O$302, 2)</f>
        <v>-10.066809199901487</v>
      </c>
      <c r="T227" s="11">
        <f>VLOOKUP(R227, $N$227:$P$302, 3)</f>
        <v>-30.211557287964645</v>
      </c>
    </row>
    <row r="228" spans="1:20" x14ac:dyDescent="0.25">
      <c r="A228" s="53" t="s">
        <v>69</v>
      </c>
      <c r="B228" s="53" t="s">
        <v>70</v>
      </c>
      <c r="C228" s="24">
        <v>1</v>
      </c>
      <c r="D228" s="10">
        <v>0</v>
      </c>
      <c r="E228" s="10">
        <v>0</v>
      </c>
      <c r="F228" s="11">
        <v>0</v>
      </c>
      <c r="G228" s="53" t="s">
        <v>66</v>
      </c>
      <c r="H228" s="12" t="s">
        <v>30</v>
      </c>
      <c r="I228" s="4">
        <f>MMULT($M114:$P114,C$228:C$231)</f>
        <v>-149.82748869189439</v>
      </c>
      <c r="J228" s="4">
        <f>MMULT($M114:$P114,D$228:D$231)</f>
        <v>-436.29265868664544</v>
      </c>
      <c r="K228" s="4">
        <f>MMULT($M114:$P114,E$228:E$231)</f>
        <v>7038.1191506087789</v>
      </c>
      <c r="L228" s="7">
        <f>MMULT($M114:$P114,F$228:F$231)</f>
        <v>15.076238301217558</v>
      </c>
      <c r="M228" t="s">
        <v>66</v>
      </c>
      <c r="N228" s="12" t="s">
        <v>30</v>
      </c>
      <c r="O228" s="4">
        <f t="shared" ref="O228:O259" si="70">I228/L228</f>
        <v>-9.9379888867765054</v>
      </c>
      <c r="P228" s="7">
        <f t="shared" ref="P228:P259" si="71">J228/L228</f>
        <v>-28.93909276105104</v>
      </c>
      <c r="R228" s="6" t="s">
        <v>25</v>
      </c>
      <c r="S228" s="4">
        <f t="shared" ref="S228:S233" si="72">VLOOKUP(R228, $N$227:$O$302, 2)</f>
        <v>-31.05903096285488</v>
      </c>
      <c r="T228" s="7">
        <f t="shared" ref="T228:T233" si="73">VLOOKUP(R228, $N$227:$P$302, 3)</f>
        <v>-45.094461649813084</v>
      </c>
    </row>
    <row r="229" spans="1:20" x14ac:dyDescent="0.25">
      <c r="C229" s="6">
        <v>0</v>
      </c>
      <c r="D229" s="4">
        <v>1</v>
      </c>
      <c r="E229" s="4">
        <v>0</v>
      </c>
      <c r="F229" s="7">
        <v>0</v>
      </c>
      <c r="H229" s="12" t="s">
        <v>31</v>
      </c>
      <c r="I229" s="4">
        <f>MMULT($M115:$P115,C$228:C$231)</f>
        <v>-361.33023840665635</v>
      </c>
      <c r="J229" s="4">
        <f>MMULT($M115:$P115,D$228:D$231)</f>
        <v>-583.60686852133961</v>
      </c>
      <c r="K229" s="4">
        <f>MMULT($M115:$P115,E$228:E$231)</f>
        <v>6981.0130174541482</v>
      </c>
      <c r="L229" s="7">
        <f>MMULT($M115:$P115,F$228:F$231)</f>
        <v>14.962026034908297</v>
      </c>
      <c r="N229" s="12" t="s">
        <v>31</v>
      </c>
      <c r="O229" s="4">
        <f t="shared" si="70"/>
        <v>-24.149820189032372</v>
      </c>
      <c r="P229" s="7">
        <f t="shared" si="71"/>
        <v>-39.005871742216669</v>
      </c>
      <c r="R229" s="6" t="s">
        <v>26</v>
      </c>
      <c r="S229" s="4">
        <f t="shared" si="72"/>
        <v>-19.79417804907682</v>
      </c>
      <c r="T229" s="7">
        <f t="shared" si="73"/>
        <v>-60.097321213597688</v>
      </c>
    </row>
    <row r="230" spans="1:20" x14ac:dyDescent="0.25">
      <c r="C230" s="6">
        <v>0</v>
      </c>
      <c r="D230" s="4">
        <v>0</v>
      </c>
      <c r="E230" s="4">
        <v>1</v>
      </c>
      <c r="F230" s="61">
        <f>1/500</f>
        <v>2E-3</v>
      </c>
      <c r="H230" s="12" t="s">
        <v>32</v>
      </c>
      <c r="I230" s="4">
        <f>MMULT($M116:$P116,C$228:C$231)</f>
        <v>-141.00183314317465</v>
      </c>
      <c r="J230" s="4">
        <f>MMULT($M116:$P116,D$228:D$231)</f>
        <v>-618.68516510945756</v>
      </c>
      <c r="K230" s="4">
        <f>MMULT($M116:$P116,E$228:E$231)</f>
        <v>6967.4149682364477</v>
      </c>
      <c r="L230" s="7">
        <f>MMULT($M116:$P116,F$228:F$231)</f>
        <v>14.934829936472896</v>
      </c>
      <c r="N230" s="12" t="s">
        <v>32</v>
      </c>
      <c r="O230" s="4">
        <f t="shared" si="70"/>
        <v>-9.4411408595171817</v>
      </c>
      <c r="P230" s="7">
        <f t="shared" si="71"/>
        <v>-41.425658527154958</v>
      </c>
      <c r="R230" s="6" t="s">
        <v>0</v>
      </c>
      <c r="S230" s="4">
        <f t="shared" si="72"/>
        <v>-13.414283967150386</v>
      </c>
      <c r="T230" s="7">
        <f t="shared" si="73"/>
        <v>-55.495788415248732</v>
      </c>
    </row>
    <row r="231" spans="1:20" ht="13.8" thickBot="1" x14ac:dyDescent="0.3">
      <c r="C231" s="28">
        <v>0</v>
      </c>
      <c r="D231" s="8">
        <v>0</v>
      </c>
      <c r="E231" s="8">
        <v>0</v>
      </c>
      <c r="F231" s="9">
        <v>1</v>
      </c>
      <c r="H231" s="12" t="s">
        <v>34</v>
      </c>
      <c r="I231" s="4">
        <f>MMULT($M117:$P117,C$228:C$231)</f>
        <v>-72.713850947402904</v>
      </c>
      <c r="J231" s="4">
        <f>MMULT($M117:$P117,D$228:D$231)</f>
        <v>784.72627842554448</v>
      </c>
      <c r="K231" s="4">
        <f>MMULT($M117:$P117,E$228:E$231)</f>
        <v>3907.8216420503304</v>
      </c>
      <c r="L231" s="7">
        <f>MMULT($M117:$P117,F$228:F$231)</f>
        <v>8.8156432841006609</v>
      </c>
      <c r="N231" s="12" t="s">
        <v>34</v>
      </c>
      <c r="O231" s="4">
        <f>I231/L231</f>
        <v>-8.248275095085237</v>
      </c>
      <c r="P231" s="7">
        <f t="shared" si="71"/>
        <v>89.015203217311139</v>
      </c>
      <c r="R231" s="6" t="s">
        <v>22</v>
      </c>
      <c r="S231" s="4">
        <f t="shared" si="72"/>
        <v>4.0146581318499921</v>
      </c>
      <c r="T231" s="7">
        <f t="shared" si="73"/>
        <v>-78.484338551964782</v>
      </c>
    </row>
    <row r="232" spans="1:20" x14ac:dyDescent="0.25">
      <c r="H232" s="12" t="s">
        <v>37</v>
      </c>
      <c r="I232" s="4">
        <f>MMULT($M118:$P118,C$228:C$231)</f>
        <v>2.8421709430404007E-14</v>
      </c>
      <c r="J232" s="4">
        <f>MMULT($M118:$P118,D$228:D$231)</f>
        <v>2.7284841053187847E-12</v>
      </c>
      <c r="K232" s="4">
        <f>MMULT($M118:$P118,E$228:E$231)</f>
        <v>5662.8372014767419</v>
      </c>
      <c r="L232" s="7">
        <f>MMULT($M118:$P118,F$228:F$231)</f>
        <v>12.325674402953483</v>
      </c>
      <c r="N232" s="12" t="s">
        <v>37</v>
      </c>
      <c r="O232" s="4">
        <f t="shared" si="70"/>
        <v>2.3058948744900795E-15</v>
      </c>
      <c r="P232" s="7">
        <f t="shared" si="71"/>
        <v>2.2136590795104763E-13</v>
      </c>
      <c r="R232" s="6" t="s">
        <v>21</v>
      </c>
      <c r="S232" s="4">
        <f t="shared" si="72"/>
        <v>18.842893881398624</v>
      </c>
      <c r="T232" s="7">
        <f t="shared" si="73"/>
        <v>-67.504041623188542</v>
      </c>
    </row>
    <row r="233" spans="1:20" x14ac:dyDescent="0.25">
      <c r="H233" s="12" t="s">
        <v>38</v>
      </c>
      <c r="I233" s="4">
        <f>MMULT($M119:$P119,C$228:C$231)</f>
        <v>72.71385094740296</v>
      </c>
      <c r="J233" s="4">
        <f>MMULT($M119:$P119,D$228:D$231)</f>
        <v>82.733208051679185</v>
      </c>
      <c r="K233" s="4">
        <f>MMULT($M119:$P119,E$228:E$231)</f>
        <v>5180.1052239096061</v>
      </c>
      <c r="L233" s="7">
        <f>MMULT($M119:$P119,F$228:F$231)</f>
        <v>11.360210447819213</v>
      </c>
      <c r="N233" s="12" t="s">
        <v>38</v>
      </c>
      <c r="O233" s="4">
        <f t="shared" si="70"/>
        <v>6.4007485848434813</v>
      </c>
      <c r="P233" s="7">
        <f t="shared" si="71"/>
        <v>7.2827179066529739</v>
      </c>
      <c r="R233" s="6" t="s">
        <v>3</v>
      </c>
      <c r="S233" s="4">
        <f t="shared" si="72"/>
        <v>-10.066809199901487</v>
      </c>
      <c r="T233" s="7">
        <f t="shared" si="73"/>
        <v>-30.211557287964645</v>
      </c>
    </row>
    <row r="234" spans="1:20" x14ac:dyDescent="0.25">
      <c r="H234" s="12" t="s">
        <v>39</v>
      </c>
      <c r="I234" s="4">
        <f>MMULT($M120:$P120,C$228:C$231)</f>
        <v>-39.62416312833949</v>
      </c>
      <c r="J234" s="4">
        <f>MMULT($M120:$P120,D$228:D$231)</f>
        <v>-1019.4236024784776</v>
      </c>
      <c r="K234" s="4">
        <f>MMULT($M120:$P120,E$228:E$231)</f>
        <v>6812.0693122386083</v>
      </c>
      <c r="L234" s="7">
        <f>MMULT($M120:$P120,F$228:F$231)</f>
        <v>14.624138624477217</v>
      </c>
      <c r="N234" s="12" t="s">
        <v>39</v>
      </c>
      <c r="O234" s="4">
        <f t="shared" si="70"/>
        <v>-2.7095040703469788</v>
      </c>
      <c r="P234" s="7">
        <f t="shared" si="71"/>
        <v>-69.708283588902319</v>
      </c>
      <c r="R234" s="6"/>
      <c r="S234" s="4"/>
      <c r="T234" s="7"/>
    </row>
    <row r="235" spans="1:20" x14ac:dyDescent="0.25">
      <c r="H235" s="12" t="s">
        <v>6</v>
      </c>
      <c r="I235" s="4">
        <f>MMULT($M121:$P121,C$228:C$231)</f>
        <v>-171.87858658642244</v>
      </c>
      <c r="J235" s="4">
        <f>MMULT($M121:$P121,D$228:D$231)</f>
        <v>525.12559805290175</v>
      </c>
      <c r="K235" s="4">
        <f>MMULT($M121:$P121,E$228:E$231)</f>
        <v>5351.597972357662</v>
      </c>
      <c r="L235" s="7">
        <f>MMULT($M121:$P121,F$228:F$231)</f>
        <v>11.703195944715324</v>
      </c>
      <c r="N235" s="12" t="s">
        <v>6</v>
      </c>
      <c r="O235" s="4">
        <f t="shared" si="70"/>
        <v>-14.686465765279753</v>
      </c>
      <c r="P235" s="7">
        <f t="shared" si="71"/>
        <v>44.870273088952821</v>
      </c>
      <c r="R235" s="6" t="s">
        <v>16</v>
      </c>
      <c r="S235" s="4">
        <f>VLOOKUP(R235, $N$227:$O$302, 2)</f>
        <v>-15.898407093319749</v>
      </c>
      <c r="T235" s="7">
        <f>VLOOKUP(R235, $N$227:$P$302, 3)</f>
        <v>-14.295787214381429</v>
      </c>
    </row>
    <row r="236" spans="1:20" x14ac:dyDescent="0.25">
      <c r="H236" s="12" t="s">
        <v>7</v>
      </c>
      <c r="I236" s="4">
        <f>MMULT($M122:$P122,C$228:C$231)</f>
        <v>-242.37950315800978</v>
      </c>
      <c r="J236" s="4">
        <f>MMULT($M122:$P122,D$228:D$231)</f>
        <v>476.02086144133705</v>
      </c>
      <c r="K236" s="4">
        <f>MMULT($M122:$P122,E$228:E$231)</f>
        <v>5332.5625946394521</v>
      </c>
      <c r="L236" s="7">
        <f>MMULT($M122:$P122,F$228:F$231)</f>
        <v>11.665125189278905</v>
      </c>
      <c r="N236" s="12" t="s">
        <v>7</v>
      </c>
      <c r="O236" s="4">
        <f t="shared" si="70"/>
        <v>-20.778131329509787</v>
      </c>
      <c r="P236" s="7">
        <f t="shared" si="71"/>
        <v>40.807179838827167</v>
      </c>
      <c r="R236" s="6" t="s">
        <v>24</v>
      </c>
      <c r="S236" s="4">
        <f>VLOOKUP(R236, $N$227:$O$302, 2)</f>
        <v>-34.742920079001181</v>
      </c>
      <c r="T236" s="7">
        <f>VLOOKUP(R236, $N$227:$P$302, 3)</f>
        <v>-27.453729144290143</v>
      </c>
    </row>
    <row r="237" spans="1:20" x14ac:dyDescent="0.25">
      <c r="H237" s="12" t="s">
        <v>8</v>
      </c>
      <c r="I237" s="4">
        <f>MMULT($M123:$P123,C$228:C$231)</f>
        <v>-96.95180126320389</v>
      </c>
      <c r="J237" s="4">
        <f>MMULT($M123:$P123,D$228:D$231)</f>
        <v>294.50348295380263</v>
      </c>
      <c r="K237" s="4">
        <f>MMULT($M123:$P123,E$228:E$231)</f>
        <v>5262.1976543025994</v>
      </c>
      <c r="L237" s="7">
        <f>MMULT($M123:$P123,F$228:F$231)</f>
        <v>11.524395308605198</v>
      </c>
      <c r="N237" s="12" t="s">
        <v>8</v>
      </c>
      <c r="O237" s="4">
        <f t="shared" si="70"/>
        <v>-8.4127451954733399</v>
      </c>
      <c r="P237" s="7">
        <f t="shared" si="71"/>
        <v>25.554788348322155</v>
      </c>
      <c r="R237" s="6" t="s">
        <v>27</v>
      </c>
      <c r="S237" s="4">
        <f>VLOOKUP(R237, $N$227:$O$302, 2)</f>
        <v>-22.171506192749749</v>
      </c>
      <c r="T237" s="7">
        <f>VLOOKUP(R237, $N$227:$P$302, 3)</f>
        <v>-44.036396829773807</v>
      </c>
    </row>
    <row r="238" spans="1:20" x14ac:dyDescent="0.25">
      <c r="H238" s="12" t="s">
        <v>5</v>
      </c>
      <c r="I238" s="4">
        <f>MMULT($M124:$P124,C$228:C$231)</f>
        <v>-96.95180126320389</v>
      </c>
      <c r="J238" s="4">
        <f>MMULT($M124:$P124,D$228:D$231)</f>
        <v>988.47107213557706</v>
      </c>
      <c r="K238" s="4">
        <f>MMULT($M124:$P124,E$228:E$231)</f>
        <v>3471.9996247077643</v>
      </c>
      <c r="L238" s="7">
        <f>MMULT($M124:$P124,F$228:F$231)</f>
        <v>7.9439992494155289</v>
      </c>
      <c r="N238" s="12" t="s">
        <v>5</v>
      </c>
      <c r="O238" s="4">
        <f t="shared" si="70"/>
        <v>-12.204407153026482</v>
      </c>
      <c r="P238" s="7">
        <f t="shared" si="71"/>
        <v>124.42990502652712</v>
      </c>
      <c r="R238" s="6" t="s">
        <v>28</v>
      </c>
      <c r="S238" s="4">
        <f>VLOOKUP(R238, $N$227:$O$302, 2)</f>
        <v>-15.019222746497242</v>
      </c>
      <c r="T238" s="7">
        <f>VLOOKUP(R238, $N$227:$P$302, 3)</f>
        <v>-38.9456157372421</v>
      </c>
    </row>
    <row r="239" spans="1:20" x14ac:dyDescent="0.25">
      <c r="H239" s="12" t="s">
        <v>9</v>
      </c>
      <c r="I239" s="4">
        <f>MMULT($M125:$P125,C$228:C$231)</f>
        <v>-26.450884691616551</v>
      </c>
      <c r="J239" s="4">
        <f>MMULT($M125:$P125,D$228:D$231)</f>
        <v>1037.5758087471418</v>
      </c>
      <c r="K239" s="4">
        <f>MMULT($M125:$P125,E$228:E$231)</f>
        <v>3491.0350024259742</v>
      </c>
      <c r="L239" s="7">
        <f>MMULT($M125:$P125,F$228:F$231)</f>
        <v>7.9820700048519484</v>
      </c>
      <c r="N239" s="12" t="s">
        <v>9</v>
      </c>
      <c r="O239" s="4">
        <f t="shared" si="70"/>
        <v>-3.3137876109252642</v>
      </c>
      <c r="P239" s="7">
        <f t="shared" si="71"/>
        <v>129.98831231954182</v>
      </c>
      <c r="R239" s="6" t="s">
        <v>23</v>
      </c>
      <c r="S239" s="4">
        <f>VLOOKUP(R239, $N$227:$O$302, 2)</f>
        <v>4.5041965324272768</v>
      </c>
      <c r="T239" s="7">
        <f>VLOOKUP(R239, $N$227:$P$302, 3)</f>
        <v>-64.420048379718381</v>
      </c>
    </row>
    <row r="240" spans="1:20" x14ac:dyDescent="0.25">
      <c r="H240" s="12" t="s">
        <v>10</v>
      </c>
      <c r="I240" s="4">
        <f>MMULT($M126:$P126,C$228:C$231)</f>
        <v>-26.450884691616551</v>
      </c>
      <c r="J240" s="4">
        <f>MMULT($M126:$P126,D$228:D$231)</f>
        <v>343.60821956536734</v>
      </c>
      <c r="K240" s="4">
        <f>MMULT($M126:$P126,E$228:E$231)</f>
        <v>5281.2330320208102</v>
      </c>
      <c r="L240" s="7">
        <f>MMULT($M126:$P126,F$228:F$231)</f>
        <v>11.562466064041621</v>
      </c>
      <c r="N240" s="12" t="s">
        <v>10</v>
      </c>
      <c r="O240" s="4">
        <f t="shared" si="70"/>
        <v>-2.2876507956963237</v>
      </c>
      <c r="P240" s="7">
        <f t="shared" si="71"/>
        <v>29.717554859162998</v>
      </c>
      <c r="R240" s="6" t="s">
        <v>17</v>
      </c>
      <c r="S240" s="4">
        <f>VLOOKUP(R240, $N$227:$O$302, 2)</f>
        <v>16.403125801432857</v>
      </c>
      <c r="T240" s="7">
        <f>VLOOKUP(R240, $N$227:$P$302, 3)</f>
        <v>-55.697155626483656</v>
      </c>
    </row>
    <row r="241" spans="8:20" x14ac:dyDescent="0.25">
      <c r="H241" s="12" t="s">
        <v>4</v>
      </c>
      <c r="I241" s="4">
        <f>MMULT($M127:$P127,C$228:C$231)</f>
        <v>167.45271783479131</v>
      </c>
      <c r="J241" s="4">
        <f>MMULT($M127:$P127,D$228:D$231)</f>
        <v>101.58504824865486</v>
      </c>
      <c r="K241" s="4">
        <f>MMULT($M127:$P127,E$228:E$231)</f>
        <v>5187.4131115716755</v>
      </c>
      <c r="L241" s="7">
        <f>MMULT($M127:$P127,F$228:F$231)</f>
        <v>11.374826223143351</v>
      </c>
      <c r="N241" s="12" t="s">
        <v>4</v>
      </c>
      <c r="O241" s="4">
        <f t="shared" si="70"/>
        <v>14.721342950636917</v>
      </c>
      <c r="P241" s="7">
        <f t="shared" si="71"/>
        <v>8.930690127113218</v>
      </c>
      <c r="R241" s="6" t="s">
        <v>16</v>
      </c>
      <c r="S241" s="4">
        <f>VLOOKUP(R241, $N$227:$O$302, 2)</f>
        <v>-15.898407093319749</v>
      </c>
      <c r="T241" s="7">
        <f>VLOOKUP(R241, $N$227:$P$302, 3)</f>
        <v>-14.295787214381429</v>
      </c>
    </row>
    <row r="242" spans="8:20" x14ac:dyDescent="0.25">
      <c r="H242" s="12" t="s">
        <v>11</v>
      </c>
      <c r="I242" s="4">
        <f>MMULT($M128:$P128,C$228:C$231)</f>
        <v>167.45271783479131</v>
      </c>
      <c r="J242" s="4">
        <f>MMULT($M128:$P128,D$228:D$231)</f>
        <v>795.55263743042929</v>
      </c>
      <c r="K242" s="4">
        <f>MMULT($M128:$P128,E$228:E$231)</f>
        <v>3397.2150819768385</v>
      </c>
      <c r="L242" s="7">
        <f>MMULT($M128:$P128,F$228:F$231)</f>
        <v>7.7944301639536775</v>
      </c>
      <c r="N242" s="12" t="s">
        <v>11</v>
      </c>
      <c r="O242" s="4">
        <f t="shared" si="70"/>
        <v>21.483638227871676</v>
      </c>
      <c r="P242" s="7">
        <f t="shared" si="71"/>
        <v>102.06681190237133</v>
      </c>
      <c r="R242" s="6"/>
      <c r="S242" s="4"/>
      <c r="T242" s="7"/>
    </row>
    <row r="243" spans="8:20" x14ac:dyDescent="0.25">
      <c r="H243" s="12" t="s">
        <v>12</v>
      </c>
      <c r="I243" s="4">
        <f>MMULT($M129:$P129,C$228:C$231)</f>
        <v>96.951801263203947</v>
      </c>
      <c r="J243" s="4">
        <f>MMULT($M129:$P129,D$228:D$231)</f>
        <v>746.44790081886458</v>
      </c>
      <c r="K243" s="4">
        <f>MMULT($M129:$P129,E$228:E$231)</f>
        <v>3378.1797042586286</v>
      </c>
      <c r="L243" s="7">
        <f>MMULT($M129:$P129,F$228:F$231)</f>
        <v>7.7563594085172571</v>
      </c>
      <c r="N243" s="12" t="s">
        <v>12</v>
      </c>
      <c r="O243" s="4">
        <f t="shared" si="70"/>
        <v>12.499653014627093</v>
      </c>
      <c r="P243" s="7">
        <f t="shared" si="71"/>
        <v>96.236889177568315</v>
      </c>
      <c r="R243" s="6" t="s">
        <v>6</v>
      </c>
      <c r="S243" s="4">
        <f>VLOOKUP(R243, $N$227:$O$302, 2)</f>
        <v>-14.686465765279753</v>
      </c>
      <c r="T243" s="7">
        <f>VLOOKUP(R243, $N$227:$P$302, 3)</f>
        <v>44.870273088952821</v>
      </c>
    </row>
    <row r="244" spans="8:20" x14ac:dyDescent="0.25">
      <c r="H244" s="12" t="s">
        <v>13</v>
      </c>
      <c r="I244" s="4">
        <f>MMULT($M130:$P130,C$228:C$231)</f>
        <v>96.951801263203947</v>
      </c>
      <c r="J244" s="4">
        <f>MMULT($M130:$P130,D$228:D$231)</f>
        <v>52.480311637090153</v>
      </c>
      <c r="K244" s="4">
        <f>MMULT($M130:$P130,E$228:E$231)</f>
        <v>5168.3777338534646</v>
      </c>
      <c r="L244" s="7">
        <f>MMULT($M130:$P130,F$228:F$231)</f>
        <v>11.336755467706929</v>
      </c>
      <c r="N244" s="12" t="s">
        <v>13</v>
      </c>
      <c r="O244" s="4">
        <f t="shared" si="70"/>
        <v>8.5519884008589511</v>
      </c>
      <c r="P244" s="7">
        <f t="shared" si="71"/>
        <v>4.6292179262913287</v>
      </c>
      <c r="R244" s="6" t="s">
        <v>7</v>
      </c>
      <c r="S244" s="4">
        <f>VLOOKUP(R244, $N$227:$O$302, 2)</f>
        <v>-20.778131329509787</v>
      </c>
      <c r="T244" s="7">
        <f>VLOOKUP(R244, $N$227:$P$302, 3)</f>
        <v>40.807179838827167</v>
      </c>
    </row>
    <row r="245" spans="8:20" x14ac:dyDescent="0.25">
      <c r="H245" s="12" t="s">
        <v>14</v>
      </c>
      <c r="I245" s="4">
        <f>MMULT($M131:$P131,C$228:C$231)</f>
        <v>242.37950315800981</v>
      </c>
      <c r="J245" s="4">
        <f>MMULT($M131:$P131,D$228:D$231)</f>
        <v>-129.03706685044415</v>
      </c>
      <c r="K245" s="4">
        <f>MMULT($M131:$P131,E$228:E$231)</f>
        <v>5098.0127935166129</v>
      </c>
      <c r="L245" s="7">
        <f>MMULT($M131:$P131,F$228:F$231)</f>
        <v>11.196025587033226</v>
      </c>
      <c r="N245" s="12" t="s">
        <v>14</v>
      </c>
      <c r="O245" s="4">
        <f t="shared" si="70"/>
        <v>21.648709291869046</v>
      </c>
      <c r="P245" s="7">
        <f t="shared" si="71"/>
        <v>-11.525256516016679</v>
      </c>
      <c r="R245" s="6" t="s">
        <v>8</v>
      </c>
      <c r="S245" s="4">
        <f>VLOOKUP(R245, $N$227:$O$302, 2)</f>
        <v>-8.4127451954733399</v>
      </c>
      <c r="T245" s="7">
        <f>VLOOKUP(R245, $N$227:$P$302, 3)</f>
        <v>25.554788348322155</v>
      </c>
    </row>
    <row r="246" spans="8:20" x14ac:dyDescent="0.25">
      <c r="H246" s="12" t="s">
        <v>15</v>
      </c>
      <c r="I246" s="4">
        <f>MMULT($M132:$P132,C$228:C$231)</f>
        <v>312.88041972959718</v>
      </c>
      <c r="J246" s="4">
        <f>MMULT($M132:$P132,D$228:D$231)</f>
        <v>-79.932330238879445</v>
      </c>
      <c r="K246" s="4">
        <f>MMULT($M132:$P132,E$228:E$231)</f>
        <v>5117.0481712348228</v>
      </c>
      <c r="L246" s="7">
        <f>MMULT($M132:$P132,F$228:F$231)</f>
        <v>11.234096342469647</v>
      </c>
      <c r="N246" s="12" t="s">
        <v>15</v>
      </c>
      <c r="O246" s="4">
        <f t="shared" si="70"/>
        <v>27.850964616243903</v>
      </c>
      <c r="P246" s="7">
        <f t="shared" si="71"/>
        <v>-7.11515441938141</v>
      </c>
      <c r="R246" s="6" t="s">
        <v>10</v>
      </c>
      <c r="S246" s="4">
        <f>VLOOKUP(R246, $N$227:$O$302, 2)</f>
        <v>-2.2876507956963237</v>
      </c>
      <c r="T246" s="7">
        <f>VLOOKUP(R246, $N$227:$P$302, 3)</f>
        <v>29.717554859162998</v>
      </c>
    </row>
    <row r="247" spans="8:20" x14ac:dyDescent="0.25">
      <c r="H247" s="12" t="s">
        <v>21</v>
      </c>
      <c r="I247" s="4">
        <f>MMULT($M133:$P133,C$228:C$231)</f>
        <v>312.88041972959718</v>
      </c>
      <c r="J247" s="4">
        <f>MMULT($M133:$P133,D$228:D$231)</f>
        <v>-1120.8837140115411</v>
      </c>
      <c r="K247" s="4">
        <f>MMULT($M133:$P133,E$228:E$231)</f>
        <v>7802.3452156270778</v>
      </c>
      <c r="L247" s="7">
        <f>MMULT($M133:$P133,F$228:F$231)</f>
        <v>16.604690431254156</v>
      </c>
      <c r="N247" s="12" t="s">
        <v>21</v>
      </c>
      <c r="O247" s="4">
        <f t="shared" si="70"/>
        <v>18.842893881398624</v>
      </c>
      <c r="P247" s="7">
        <f t="shared" si="71"/>
        <v>-67.504041623188542</v>
      </c>
      <c r="R247" s="6" t="s">
        <v>6</v>
      </c>
      <c r="S247" s="4">
        <f>VLOOKUP(R247, $N$227:$O$302, 2)</f>
        <v>-14.686465765279753</v>
      </c>
      <c r="T247" s="7">
        <f>VLOOKUP(R247, $N$227:$P$302, 3)</f>
        <v>44.870273088952821</v>
      </c>
    </row>
    <row r="248" spans="8:20" x14ac:dyDescent="0.25">
      <c r="H248" s="12" t="s">
        <v>22</v>
      </c>
      <c r="I248" s="4">
        <f>MMULT($M134:$P134,C$228:C$231)</f>
        <v>66.127211729041505</v>
      </c>
      <c r="J248" s="4">
        <f>MMULT($M134:$P134,D$228:D$231)</f>
        <v>-1292.7502921520177</v>
      </c>
      <c r="K248" s="4">
        <f>MMULT($M134:$P134,E$228:E$231)</f>
        <v>7735.7213936133421</v>
      </c>
      <c r="L248" s="7">
        <f>MMULT($M134:$P134,F$228:F$231)</f>
        <v>16.471442787226685</v>
      </c>
      <c r="N248" s="12" t="s">
        <v>22</v>
      </c>
      <c r="O248" s="4">
        <f t="shared" si="70"/>
        <v>4.0146581318499921</v>
      </c>
      <c r="P248" s="7">
        <f t="shared" si="71"/>
        <v>-78.484338551964782</v>
      </c>
      <c r="R248" s="6"/>
      <c r="S248" s="4"/>
      <c r="T248" s="7"/>
    </row>
    <row r="249" spans="8:20" x14ac:dyDescent="0.25">
      <c r="H249" s="12" t="s">
        <v>23</v>
      </c>
      <c r="I249" s="4">
        <f>MMULT($M135:$P135,C$228:C$231)</f>
        <v>66.127211729041505</v>
      </c>
      <c r="J249" s="4">
        <f>MMULT($M135:$P135,D$228:D$231)</f>
        <v>-945.76649756113056</v>
      </c>
      <c r="K249" s="4">
        <f>MMULT($M135:$P135,E$228:E$231)</f>
        <v>6840.6223788159241</v>
      </c>
      <c r="L249" s="7">
        <f>MMULT($M135:$P135,F$228:F$231)</f>
        <v>14.681244757631848</v>
      </c>
      <c r="N249" s="12" t="s">
        <v>23</v>
      </c>
      <c r="O249" s="4">
        <f t="shared" si="70"/>
        <v>4.5041965324272768</v>
      </c>
      <c r="P249" s="7">
        <f t="shared" si="71"/>
        <v>-64.420048379718381</v>
      </c>
      <c r="R249" s="6" t="s">
        <v>13</v>
      </c>
      <c r="S249" s="4">
        <f>VLOOKUP(R249, $N$227:$O$302, 2)</f>
        <v>8.5519884008589511</v>
      </c>
      <c r="T249" s="7">
        <f>VLOOKUP(R249, $N$227:$P$302, 3)</f>
        <v>4.6292179262913287</v>
      </c>
    </row>
    <row r="250" spans="8:20" x14ac:dyDescent="0.25">
      <c r="H250" s="12" t="s">
        <v>17</v>
      </c>
      <c r="I250" s="4">
        <f>MMULT($M136:$P136,C$228:C$231)</f>
        <v>242.37950315800981</v>
      </c>
      <c r="J250" s="4">
        <f>MMULT($M136:$P136,D$228:D$231)</f>
        <v>-823.00465603221869</v>
      </c>
      <c r="K250" s="4">
        <f>MMULT($M136:$P136,E$228:E$231)</f>
        <v>6888.2108231114498</v>
      </c>
      <c r="L250" s="7">
        <f>MMULT($M136:$P136,F$228:F$231)</f>
        <v>14.7764216462229</v>
      </c>
      <c r="N250" s="12" t="s">
        <v>17</v>
      </c>
      <c r="O250" s="4">
        <f t="shared" si="70"/>
        <v>16.403125801432857</v>
      </c>
      <c r="P250" s="7">
        <f t="shared" si="71"/>
        <v>-55.697155626483656</v>
      </c>
      <c r="R250" s="6" t="s">
        <v>14</v>
      </c>
      <c r="S250" s="4">
        <f>VLOOKUP(R250, $N$227:$O$302, 2)</f>
        <v>21.648709291869046</v>
      </c>
      <c r="T250" s="7">
        <f>VLOOKUP(R250, $N$227:$P$302, 3)</f>
        <v>-11.525256516016679</v>
      </c>
    </row>
    <row r="251" spans="8:20" x14ac:dyDescent="0.25">
      <c r="H251" s="12" t="s">
        <v>16</v>
      </c>
      <c r="I251" s="4">
        <f>MMULT($M137:$P137,C$228:C$231)</f>
        <v>-242.37950315800978</v>
      </c>
      <c r="J251" s="4">
        <f>MMULT($M137:$P137,D$228:D$231)</f>
        <v>-217.9467277404375</v>
      </c>
      <c r="K251" s="4">
        <f>MMULT($M137:$P137,E$228:E$231)</f>
        <v>7122.7606242342881</v>
      </c>
      <c r="L251" s="7">
        <f>MMULT($M137:$P137,F$228:F$231)</f>
        <v>15.245521248468577</v>
      </c>
      <c r="N251" s="12" t="s">
        <v>16</v>
      </c>
      <c r="O251" s="4">
        <f t="shared" si="70"/>
        <v>-15.898407093319749</v>
      </c>
      <c r="P251" s="7">
        <f t="shared" si="71"/>
        <v>-14.295787214381429</v>
      </c>
      <c r="R251" s="6" t="s">
        <v>15</v>
      </c>
      <c r="S251" s="4">
        <f>VLOOKUP(R251, $N$227:$O$302, 2)</f>
        <v>27.850964616243903</v>
      </c>
      <c r="T251" s="7">
        <f>VLOOKUP(R251, $N$227:$P$302, 3)</f>
        <v>-7.11515441938141</v>
      </c>
    </row>
    <row r="252" spans="8:20" x14ac:dyDescent="0.25">
      <c r="H252" s="12" t="s">
        <v>24</v>
      </c>
      <c r="I252" s="4">
        <f>MMULT($M138:$P138,C$228:C$231)</f>
        <v>-524.38316944435905</v>
      </c>
      <c r="J252" s="4">
        <f>MMULT($M138:$P138,D$228:D$231)</f>
        <v>-414.36567418669642</v>
      </c>
      <c r="K252" s="4">
        <f>MMULT($M138:$P138,E$228:E$231)</f>
        <v>7046.6191133614466</v>
      </c>
      <c r="L252" s="7">
        <f>MMULT($M138:$P138,F$228:F$231)</f>
        <v>15.093238226722894</v>
      </c>
      <c r="N252" s="12" t="s">
        <v>24</v>
      </c>
      <c r="O252" s="4">
        <f t="shared" si="70"/>
        <v>-34.742920079001181</v>
      </c>
      <c r="P252" s="7">
        <f t="shared" si="71"/>
        <v>-27.453729144290143</v>
      </c>
      <c r="R252" s="6" t="s">
        <v>4</v>
      </c>
      <c r="S252" s="4">
        <f>VLOOKUP(R252, $N$227:$O$302, 2)</f>
        <v>14.721342950636917</v>
      </c>
      <c r="T252" s="7">
        <f>VLOOKUP(R252, $N$227:$P$302, 3)</f>
        <v>8.930690127113218</v>
      </c>
    </row>
    <row r="253" spans="8:20" x14ac:dyDescent="0.25">
      <c r="H253" s="12" t="s">
        <v>25</v>
      </c>
      <c r="I253" s="4">
        <f>MMULT($M139:$P139,C$228:C$231)</f>
        <v>-524.38316944435905</v>
      </c>
      <c r="J253" s="4">
        <f>MMULT($M139:$P139,D$228:D$231)</f>
        <v>-761.34946877758364</v>
      </c>
      <c r="K253" s="4">
        <f>MMULT($M139:$P139,E$228:E$231)</f>
        <v>7941.7181281588655</v>
      </c>
      <c r="L253" s="7">
        <f>MMULT($M139:$P139,F$228:F$231)</f>
        <v>16.883436256317729</v>
      </c>
      <c r="N253" s="12" t="s">
        <v>25</v>
      </c>
      <c r="O253" s="4">
        <f t="shared" si="70"/>
        <v>-31.05903096285488</v>
      </c>
      <c r="P253" s="7">
        <f t="shared" si="71"/>
        <v>-45.094461649813084</v>
      </c>
      <c r="R253" s="6" t="s">
        <v>13</v>
      </c>
      <c r="S253" s="4">
        <f>VLOOKUP(R253, $N$227:$O$302, 2)</f>
        <v>8.5519884008589511</v>
      </c>
      <c r="T253" s="7">
        <f>VLOOKUP(R253, $N$227:$P$302, 3)</f>
        <v>4.6292179262913287</v>
      </c>
    </row>
    <row r="254" spans="8:20" x14ac:dyDescent="0.25">
      <c r="H254" s="12" t="s">
        <v>26</v>
      </c>
      <c r="I254" s="4">
        <f>MMULT($M140:$P140,C$228:C$231)</f>
        <v>-330.47956691795127</v>
      </c>
      <c r="J254" s="4">
        <f>MMULT($M140:$P140,D$228:D$231)</f>
        <v>-1003.3726400942961</v>
      </c>
      <c r="K254" s="4">
        <f>MMULT($M140:$P140,E$228:E$231)</f>
        <v>7847.8982077097298</v>
      </c>
      <c r="L254" s="7">
        <f>MMULT($M140:$P140,F$228:F$231)</f>
        <v>16.695796415419458</v>
      </c>
      <c r="N254" s="12" t="s">
        <v>26</v>
      </c>
      <c r="O254" s="4">
        <f t="shared" si="70"/>
        <v>-19.79417804907682</v>
      </c>
      <c r="P254" s="7">
        <f t="shared" si="71"/>
        <v>-60.097321213597688</v>
      </c>
      <c r="R254" s="6"/>
      <c r="S254" s="4" t="e">
        <f>VLOOKUP(R254, $N$227:$O$302, 2)</f>
        <v>#N/A</v>
      </c>
      <c r="T254" s="7" t="e">
        <f>VLOOKUP(R254, $N$227:$P$302, 3)</f>
        <v>#N/A</v>
      </c>
    </row>
    <row r="255" spans="8:20" x14ac:dyDescent="0.25">
      <c r="H255" s="12" t="s">
        <v>27</v>
      </c>
      <c r="I255" s="4">
        <f>MMULT($M141:$P141,C$228:C$231)</f>
        <v>-330.47956691795127</v>
      </c>
      <c r="J255" s="4">
        <f>MMULT($M141:$P141,D$228:D$231)</f>
        <v>-656.3888455034089</v>
      </c>
      <c r="K255" s="4">
        <f>MMULT($M141:$P141,E$228:E$231)</f>
        <v>6952.7991929123109</v>
      </c>
      <c r="L255" s="7">
        <f>MMULT($M141:$P141,F$228:F$231)</f>
        <v>14.905598385824621</v>
      </c>
      <c r="N255" s="12" t="s">
        <v>27</v>
      </c>
      <c r="O255" s="4">
        <f t="shared" si="70"/>
        <v>-22.171506192749749</v>
      </c>
      <c r="P255" s="7">
        <f t="shared" si="71"/>
        <v>-44.036396829773807</v>
      </c>
      <c r="R255" s="6" t="s">
        <v>12</v>
      </c>
      <c r="S255" s="4">
        <f>VLOOKUP(R255, $N$227:$O$302, 2)</f>
        <v>12.499653014627093</v>
      </c>
      <c r="T255" s="7">
        <f>VLOOKUP(R255, $N$227:$P$302, 3)</f>
        <v>96.236889177568315</v>
      </c>
    </row>
    <row r="256" spans="8:20" x14ac:dyDescent="0.25">
      <c r="H256" s="12" t="s">
        <v>28</v>
      </c>
      <c r="I256" s="4">
        <f>MMULT($M142:$P142,C$228:C$231)</f>
        <v>-224.72819206057028</v>
      </c>
      <c r="J256" s="4">
        <f>MMULT($M142:$P142,D$228:D$231)</f>
        <v>-582.73174058606185</v>
      </c>
      <c r="K256" s="4">
        <f>MMULT($M142:$P142,E$228:E$231)</f>
        <v>6981.3522594896267</v>
      </c>
      <c r="L256" s="7">
        <f>MMULT($M142:$P142,F$228:F$231)</f>
        <v>14.962704518979253</v>
      </c>
      <c r="N256" s="12" t="s">
        <v>28</v>
      </c>
      <c r="O256" s="4">
        <f t="shared" si="70"/>
        <v>-15.019222746497242</v>
      </c>
      <c r="P256" s="7">
        <f t="shared" si="71"/>
        <v>-38.9456157372421</v>
      </c>
      <c r="R256" s="6" t="s">
        <v>29</v>
      </c>
      <c r="S256" s="4">
        <f>VLOOKUP(R256, $N$227:$O$302, 2)</f>
        <v>21.483638227871676</v>
      </c>
      <c r="T256" s="7">
        <f>VLOOKUP(R256, $N$227:$P$302, 3)</f>
        <v>102.06681190237133</v>
      </c>
    </row>
    <row r="257" spans="8:20" x14ac:dyDescent="0.25">
      <c r="H257" s="12" t="s">
        <v>0</v>
      </c>
      <c r="I257" s="4">
        <f>MMULT($M143:$P143,C$228:C$231)</f>
        <v>-224.72819206057028</v>
      </c>
      <c r="J257" s="4">
        <f>MMULT($M143:$P143,D$228:D$231)</f>
        <v>-929.71553517694906</v>
      </c>
      <c r="K257" s="4">
        <f>MMULT($M143:$P143,E$228:E$231)</f>
        <v>7876.4512742870456</v>
      </c>
      <c r="L257" s="7">
        <f>MMULT($M143:$P143,F$228:F$231)</f>
        <v>16.752902548574092</v>
      </c>
      <c r="N257" s="12" t="s">
        <v>0</v>
      </c>
      <c r="O257" s="4">
        <f t="shared" si="70"/>
        <v>-13.414283967150386</v>
      </c>
      <c r="P257" s="7">
        <f t="shared" si="71"/>
        <v>-55.495788415248732</v>
      </c>
      <c r="R257" s="6" t="s">
        <v>9</v>
      </c>
      <c r="S257" s="4">
        <f>VLOOKUP(R257, $N$227:$O$302, 2)</f>
        <v>-3.3137876109252642</v>
      </c>
      <c r="T257" s="7">
        <f>VLOOKUP(R257, $N$227:$P$302, 3)</f>
        <v>129.98831231954182</v>
      </c>
    </row>
    <row r="258" spans="8:20" x14ac:dyDescent="0.25">
      <c r="H258" s="12" t="s">
        <v>1</v>
      </c>
      <c r="I258" s="4">
        <f>MMULT($M144:$P144,C$228:C$231)</f>
        <v>-187.29088135350366</v>
      </c>
      <c r="J258" s="4">
        <f>MMULT($M144:$P144,D$228:D$231)</f>
        <v>-320.98160113709588</v>
      </c>
      <c r="K258" s="4">
        <f>MMULT($M144:$P144,E$228:E$231)</f>
        <v>7082.8193096363102</v>
      </c>
      <c r="L258" s="7">
        <f>MMULT($M144:$P144,F$228:F$231)</f>
        <v>15.16563861927262</v>
      </c>
      <c r="N258" s="12" t="s">
        <v>1</v>
      </c>
      <c r="O258" s="4">
        <f t="shared" si="70"/>
        <v>-12.349686423062519</v>
      </c>
      <c r="P258" s="7">
        <f t="shared" si="71"/>
        <v>-21.165056691327841</v>
      </c>
      <c r="R258" s="6" t="s">
        <v>5</v>
      </c>
      <c r="S258" s="4">
        <f>VLOOKUP(R258, $N$227:$O$302, 2)</f>
        <v>-12.204407153026482</v>
      </c>
      <c r="T258" s="7">
        <f>VLOOKUP(R258, $N$227:$P$302, 3)</f>
        <v>124.42990502652712</v>
      </c>
    </row>
    <row r="259" spans="8:20" ht="13.8" thickBot="1" x14ac:dyDescent="0.3">
      <c r="H259" s="55" t="s">
        <v>2</v>
      </c>
      <c r="I259" s="8">
        <f>MMULT($M145:$P145,C$228:C$231)</f>
        <v>-310.6674853537815</v>
      </c>
      <c r="J259" s="8">
        <f>MMULT($M145:$P145,D$228:D$231)</f>
        <v>-406.91489020733417</v>
      </c>
      <c r="K259" s="8">
        <f>MMULT($M145:$P145,E$228:E$231)</f>
        <v>7049.5073986294419</v>
      </c>
      <c r="L259" s="9">
        <f>MMULT($M145:$P145,F$228:F$231)</f>
        <v>15.099014797258883</v>
      </c>
      <c r="N259" s="55" t="s">
        <v>2</v>
      </c>
      <c r="O259" s="8">
        <f t="shared" si="70"/>
        <v>-20.575348095571172</v>
      </c>
      <c r="P259" s="9">
        <f t="shared" si="71"/>
        <v>-26.949764317153104</v>
      </c>
      <c r="R259" s="6" t="s">
        <v>12</v>
      </c>
      <c r="S259" s="4">
        <f>VLOOKUP(R259, $N$227:$O$302, 2)</f>
        <v>12.499653014627093</v>
      </c>
      <c r="T259" s="7">
        <f>VLOOKUP(R259, $N$227:$P$302, 3)</f>
        <v>96.236889177568315</v>
      </c>
    </row>
    <row r="260" spans="8:20" x14ac:dyDescent="0.25">
      <c r="R260" s="6"/>
      <c r="S260" s="4" t="e">
        <f>VLOOKUP(R260, $N$227:$O$302, 2)</f>
        <v>#N/A</v>
      </c>
      <c r="T260" s="7" t="e">
        <f>VLOOKUP(R260, $N$227:$P$302, 3)</f>
        <v>#N/A</v>
      </c>
    </row>
    <row r="261" spans="8:20" x14ac:dyDescent="0.25">
      <c r="R261" s="6" t="s">
        <v>6</v>
      </c>
      <c r="S261" s="4">
        <f>VLOOKUP(R261, $N$227:$O$302, 2)</f>
        <v>-14.686465765279753</v>
      </c>
      <c r="T261" s="7">
        <f>VLOOKUP(R261, $N$227:$P$302, 3)</f>
        <v>44.870273088952821</v>
      </c>
    </row>
    <row r="262" spans="8:20" x14ac:dyDescent="0.25">
      <c r="R262" s="6" t="s">
        <v>3</v>
      </c>
      <c r="S262" s="4">
        <f>VLOOKUP(R262, $N$227:$O$302, 2)</f>
        <v>-10.066809199901487</v>
      </c>
      <c r="T262" s="7">
        <f>VLOOKUP(R262, $N$227:$P$302, 3)</f>
        <v>-30.211557287964645</v>
      </c>
    </row>
    <row r="263" spans="8:20" x14ac:dyDescent="0.25">
      <c r="R263" s="6" t="s">
        <v>21</v>
      </c>
      <c r="S263" s="4">
        <f>VLOOKUP(R263, $N$227:$O$302, 2)</f>
        <v>18.842893881398624</v>
      </c>
      <c r="T263" s="7">
        <f>VLOOKUP(R263, $N$227:$P$302, 3)</f>
        <v>-67.504041623188542</v>
      </c>
    </row>
    <row r="264" spans="8:20" x14ac:dyDescent="0.25">
      <c r="R264" s="6" t="s">
        <v>15</v>
      </c>
      <c r="S264" s="4">
        <f>VLOOKUP(R264, $N$227:$O$302, 2)</f>
        <v>27.850964616243903</v>
      </c>
      <c r="T264" s="7">
        <f>VLOOKUP(R264, $N$227:$P$302, 3)</f>
        <v>-7.11515441938141</v>
      </c>
    </row>
    <row r="265" spans="8:20" x14ac:dyDescent="0.25">
      <c r="R265" s="6" t="s">
        <v>4</v>
      </c>
      <c r="S265" s="4">
        <f>VLOOKUP(R265, $N$227:$O$302, 2)</f>
        <v>14.721342950636917</v>
      </c>
      <c r="T265" s="7">
        <f>VLOOKUP(R265, $N$227:$P$302, 3)</f>
        <v>8.930690127113218</v>
      </c>
    </row>
    <row r="266" spans="8:20" x14ac:dyDescent="0.25">
      <c r="R266" s="6" t="s">
        <v>29</v>
      </c>
      <c r="S266" s="4">
        <f>VLOOKUP(R266, $N$227:$O$302, 2)</f>
        <v>21.483638227871676</v>
      </c>
      <c r="T266" s="7">
        <f>VLOOKUP(R266, $N$227:$P$302, 3)</f>
        <v>102.06681190237133</v>
      </c>
    </row>
    <row r="267" spans="8:20" x14ac:dyDescent="0.25">
      <c r="R267" s="6" t="s">
        <v>9</v>
      </c>
      <c r="S267" s="4">
        <f>VLOOKUP(R267, $N$227:$O$302, 2)</f>
        <v>-3.3137876109252642</v>
      </c>
      <c r="T267" s="7">
        <f>VLOOKUP(R267, $N$227:$P$302, 3)</f>
        <v>129.98831231954182</v>
      </c>
    </row>
    <row r="268" spans="8:20" x14ac:dyDescent="0.25">
      <c r="R268" s="6" t="s">
        <v>10</v>
      </c>
      <c r="S268" s="4">
        <f>VLOOKUP(R268, $N$227:$O$302, 2)</f>
        <v>-2.2876507956963237</v>
      </c>
      <c r="T268" s="7">
        <f>VLOOKUP(R268, $N$227:$P$302, 3)</f>
        <v>29.717554859162998</v>
      </c>
    </row>
    <row r="269" spans="8:20" x14ac:dyDescent="0.25">
      <c r="R269" s="6" t="s">
        <v>6</v>
      </c>
      <c r="S269" s="4">
        <f>VLOOKUP(R269, $N$227:$O$302, 2)</f>
        <v>-14.686465765279753</v>
      </c>
      <c r="T269" s="7">
        <f>VLOOKUP(R269, $N$227:$P$302, 3)</f>
        <v>44.870273088952821</v>
      </c>
    </row>
    <row r="270" spans="8:20" x14ac:dyDescent="0.25">
      <c r="R270" s="6"/>
      <c r="S270" s="4" t="e">
        <f>VLOOKUP(R270, $N$227:$O$302, 2)</f>
        <v>#N/A</v>
      </c>
      <c r="T270" s="7" t="e">
        <f>VLOOKUP(R270, $N$227:$P$302, 3)</f>
        <v>#N/A</v>
      </c>
    </row>
    <row r="271" spans="8:20" x14ac:dyDescent="0.25">
      <c r="R271" s="6" t="s">
        <v>7</v>
      </c>
      <c r="S271" s="4">
        <f>VLOOKUP(R271, $N$227:$O$302, 2)</f>
        <v>-20.778131329509787</v>
      </c>
      <c r="T271" s="7">
        <f>VLOOKUP(R271, $N$227:$P$302, 3)</f>
        <v>40.807179838827167</v>
      </c>
    </row>
    <row r="272" spans="8:20" x14ac:dyDescent="0.25">
      <c r="R272" s="6" t="s">
        <v>16</v>
      </c>
      <c r="S272" s="4">
        <f>VLOOKUP(R272, $N$227:$O$302, 2)</f>
        <v>-15.898407093319749</v>
      </c>
      <c r="T272" s="7">
        <f>VLOOKUP(R272, $N$227:$P$302, 3)</f>
        <v>-14.295787214381429</v>
      </c>
    </row>
    <row r="273" spans="18:20" x14ac:dyDescent="0.25">
      <c r="R273" s="6" t="s">
        <v>17</v>
      </c>
      <c r="S273" s="4">
        <f>VLOOKUP(R273, $N$227:$O$302, 2)</f>
        <v>16.403125801432857</v>
      </c>
      <c r="T273" s="7">
        <f>VLOOKUP(R273, $N$227:$P$302, 3)</f>
        <v>-55.697155626483656</v>
      </c>
    </row>
    <row r="274" spans="18:20" x14ac:dyDescent="0.25">
      <c r="R274" s="6" t="s">
        <v>14</v>
      </c>
      <c r="S274" s="4">
        <f>VLOOKUP(R274, $N$227:$O$302, 2)</f>
        <v>21.648709291869046</v>
      </c>
      <c r="T274" s="7">
        <f>VLOOKUP(R274, $N$227:$P$302, 3)</f>
        <v>-11.525256516016679</v>
      </c>
    </row>
    <row r="275" spans="18:20" x14ac:dyDescent="0.25">
      <c r="R275" s="6" t="s">
        <v>13</v>
      </c>
      <c r="S275" s="4">
        <f>VLOOKUP(R275, $N$227:$O$302, 2)</f>
        <v>8.5519884008589511</v>
      </c>
      <c r="T275" s="7">
        <f>VLOOKUP(R275, $N$227:$P$302, 3)</f>
        <v>4.6292179262913287</v>
      </c>
    </row>
    <row r="276" spans="18:20" x14ac:dyDescent="0.25">
      <c r="R276" s="6" t="s">
        <v>12</v>
      </c>
      <c r="S276" s="4">
        <f>VLOOKUP(R276, $N$227:$O$302, 2)</f>
        <v>12.499653014627093</v>
      </c>
      <c r="T276" s="7">
        <f>VLOOKUP(R276, $N$227:$P$302, 3)</f>
        <v>96.236889177568315</v>
      </c>
    </row>
    <row r="277" spans="18:20" x14ac:dyDescent="0.25">
      <c r="R277" s="6" t="s">
        <v>5</v>
      </c>
      <c r="S277" s="4">
        <f>VLOOKUP(R277, $N$227:$O$302, 2)</f>
        <v>-12.204407153026482</v>
      </c>
      <c r="T277" s="7">
        <f>VLOOKUP(R277, $N$227:$P$302, 3)</f>
        <v>124.42990502652712</v>
      </c>
    </row>
    <row r="278" spans="18:20" x14ac:dyDescent="0.25">
      <c r="R278" s="6" t="s">
        <v>8</v>
      </c>
      <c r="S278" s="4">
        <f>VLOOKUP(R278, $N$227:$O$302, 2)</f>
        <v>-8.4127451954733399</v>
      </c>
      <c r="T278" s="7">
        <f>VLOOKUP(R278, $N$227:$P$302, 3)</f>
        <v>25.554788348322155</v>
      </c>
    </row>
    <row r="279" spans="18:20" x14ac:dyDescent="0.25">
      <c r="R279" s="6" t="s">
        <v>7</v>
      </c>
      <c r="S279" s="4">
        <f>VLOOKUP(R279, $N$227:$O$302, 2)</f>
        <v>-20.778131329509787</v>
      </c>
      <c r="T279" s="7">
        <f>VLOOKUP(R279, $N$227:$P$302, 3)</f>
        <v>40.807179838827167</v>
      </c>
    </row>
    <row r="280" spans="18:20" x14ac:dyDescent="0.25">
      <c r="R280" s="6"/>
      <c r="S280" s="4" t="e">
        <f>VLOOKUP(R280, $N$227:$O$302, 2)</f>
        <v>#N/A</v>
      </c>
      <c r="T280" s="7" t="e">
        <f>VLOOKUP(R280, $N$227:$P$302, 3)</f>
        <v>#N/A</v>
      </c>
    </row>
    <row r="281" spans="18:20" x14ac:dyDescent="0.25">
      <c r="R281" s="6" t="s">
        <v>28</v>
      </c>
      <c r="S281" s="4">
        <f>VLOOKUP(R281, $N$227:$O$302, 2)</f>
        <v>-15.019222746497242</v>
      </c>
      <c r="T281" s="7">
        <f>VLOOKUP(R281, $N$227:$P$302, 3)</f>
        <v>-38.9456157372421</v>
      </c>
    </row>
    <row r="282" spans="18:20" x14ac:dyDescent="0.25">
      <c r="R282" s="6" t="s">
        <v>0</v>
      </c>
      <c r="S282" s="4">
        <f>VLOOKUP(R282, $N$227:$O$302, 2)</f>
        <v>-13.414283967150386</v>
      </c>
      <c r="T282" s="7">
        <f>VLOOKUP(R282, $N$227:$P$302, 3)</f>
        <v>-55.495788415248732</v>
      </c>
    </row>
    <row r="283" spans="18:20" x14ac:dyDescent="0.25">
      <c r="R283" s="6" t="s">
        <v>22</v>
      </c>
      <c r="S283" s="4">
        <f>VLOOKUP(R283, $N$227:$O$302, 2)</f>
        <v>4.0146581318499921</v>
      </c>
      <c r="T283" s="7">
        <f>VLOOKUP(R283, $N$227:$P$302, 3)</f>
        <v>-78.484338551964782</v>
      </c>
    </row>
    <row r="284" spans="18:20" x14ac:dyDescent="0.25">
      <c r="R284" s="6" t="s">
        <v>23</v>
      </c>
      <c r="S284" s="4">
        <f>VLOOKUP(R284, $N$227:$O$302, 2)</f>
        <v>4.5041965324272768</v>
      </c>
      <c r="T284" s="7">
        <f>VLOOKUP(R284, $N$227:$P$302, 3)</f>
        <v>-64.420048379718381</v>
      </c>
    </row>
    <row r="285" spans="18:20" x14ac:dyDescent="0.25">
      <c r="R285" s="6" t="s">
        <v>28</v>
      </c>
      <c r="S285" s="4">
        <f>VLOOKUP(R285, $N$227:$O$302, 2)</f>
        <v>-15.019222746497242</v>
      </c>
      <c r="T285" s="7">
        <f>VLOOKUP(R285, $N$227:$P$302, 3)</f>
        <v>-38.9456157372421</v>
      </c>
    </row>
    <row r="286" spans="18:20" x14ac:dyDescent="0.25">
      <c r="R286" s="6"/>
      <c r="S286" s="4" t="e">
        <f>VLOOKUP(R286, $N$227:$O$302, 2)</f>
        <v>#N/A</v>
      </c>
      <c r="T286" s="7" t="e">
        <f>VLOOKUP(R286, $N$227:$P$302, 3)</f>
        <v>#N/A</v>
      </c>
    </row>
    <row r="287" spans="18:20" x14ac:dyDescent="0.25">
      <c r="R287" s="6" t="s">
        <v>24</v>
      </c>
      <c r="S287" s="4">
        <f>VLOOKUP(R287, $N$227:$O$302, 2)</f>
        <v>-34.742920079001181</v>
      </c>
      <c r="T287" s="7">
        <f>VLOOKUP(R287, $N$227:$P$302, 3)</f>
        <v>-27.453729144290143</v>
      </c>
    </row>
    <row r="288" spans="18:20" x14ac:dyDescent="0.25">
      <c r="R288" s="6" t="s">
        <v>25</v>
      </c>
      <c r="S288" s="4">
        <f>VLOOKUP(R288, $N$227:$O$302, 2)</f>
        <v>-31.05903096285488</v>
      </c>
      <c r="T288" s="7">
        <f>VLOOKUP(R288, $N$227:$P$302, 3)</f>
        <v>-45.094461649813084</v>
      </c>
    </row>
    <row r="289" spans="18:20" x14ac:dyDescent="0.25">
      <c r="R289" s="6" t="s">
        <v>26</v>
      </c>
      <c r="S289" s="4">
        <f>VLOOKUP(R289, $N$227:$O$302, 2)</f>
        <v>-19.79417804907682</v>
      </c>
      <c r="T289" s="7">
        <f>VLOOKUP(R289, $N$227:$P$302, 3)</f>
        <v>-60.097321213597688</v>
      </c>
    </row>
    <row r="290" spans="18:20" x14ac:dyDescent="0.25">
      <c r="R290" s="6" t="s">
        <v>27</v>
      </c>
      <c r="S290" s="4">
        <f>VLOOKUP(R290, $N$227:$O$302, 2)</f>
        <v>-22.171506192749749</v>
      </c>
      <c r="T290" s="7">
        <f>VLOOKUP(R290, $N$227:$P$302, 3)</f>
        <v>-44.036396829773807</v>
      </c>
    </row>
    <row r="291" spans="18:20" x14ac:dyDescent="0.25">
      <c r="R291" s="6" t="s">
        <v>24</v>
      </c>
      <c r="S291" s="4">
        <f>VLOOKUP(R291, $N$227:$O$302, 2)</f>
        <v>-34.742920079001181</v>
      </c>
      <c r="T291" s="7">
        <f>VLOOKUP(R291, $N$227:$P$302, 3)</f>
        <v>-27.453729144290143</v>
      </c>
    </row>
    <row r="292" spans="18:20" x14ac:dyDescent="0.25">
      <c r="R292" s="6"/>
      <c r="S292" s="4" t="e">
        <f t="shared" ref="S292:S302" si="74">VLOOKUP(R292, $N$227:$O$302, 2)</f>
        <v>#N/A</v>
      </c>
      <c r="T292" s="7" t="e">
        <f t="shared" ref="T292:T302" si="75">VLOOKUP(R292, $N$227:$P$302, 3)</f>
        <v>#N/A</v>
      </c>
    </row>
    <row r="293" spans="18:20" x14ac:dyDescent="0.25">
      <c r="R293" s="6" t="s">
        <v>1</v>
      </c>
      <c r="S293" s="4">
        <f t="shared" si="74"/>
        <v>-12.349686423062519</v>
      </c>
      <c r="T293" s="7">
        <f t="shared" si="75"/>
        <v>-21.165056691327841</v>
      </c>
    </row>
    <row r="294" spans="18:20" x14ac:dyDescent="0.25">
      <c r="R294" s="6" t="s">
        <v>2</v>
      </c>
      <c r="S294" s="4">
        <f t="shared" si="74"/>
        <v>-20.575348095571172</v>
      </c>
      <c r="T294" s="7">
        <f t="shared" si="75"/>
        <v>-26.949764317153104</v>
      </c>
    </row>
    <row r="295" spans="18:20" x14ac:dyDescent="0.25">
      <c r="R295" s="6" t="s">
        <v>32</v>
      </c>
      <c r="S295" s="4">
        <f t="shared" si="74"/>
        <v>-9.4411408595171817</v>
      </c>
      <c r="T295" s="7">
        <f t="shared" si="75"/>
        <v>-41.425658527154958</v>
      </c>
    </row>
    <row r="296" spans="18:20" x14ac:dyDescent="0.25">
      <c r="R296" s="6"/>
      <c r="S296" s="4" t="e">
        <f t="shared" si="74"/>
        <v>#N/A</v>
      </c>
      <c r="T296" s="7" t="e">
        <f t="shared" si="75"/>
        <v>#N/A</v>
      </c>
    </row>
    <row r="297" spans="18:20" x14ac:dyDescent="0.25">
      <c r="R297" s="58" t="s">
        <v>30</v>
      </c>
      <c r="S297" s="4">
        <f t="shared" si="74"/>
        <v>-9.9379888867765054</v>
      </c>
      <c r="T297" s="7">
        <f t="shared" si="75"/>
        <v>-28.93909276105104</v>
      </c>
    </row>
    <row r="298" spans="18:20" x14ac:dyDescent="0.25">
      <c r="R298" s="58" t="s">
        <v>31</v>
      </c>
      <c r="S298" s="4">
        <f t="shared" si="74"/>
        <v>-24.149820189032372</v>
      </c>
      <c r="T298" s="7">
        <f t="shared" si="75"/>
        <v>-39.005871742216669</v>
      </c>
    </row>
    <row r="299" spans="18:20" x14ac:dyDescent="0.25">
      <c r="R299" s="58"/>
      <c r="S299" s="4" t="e">
        <f t="shared" si="74"/>
        <v>#N/A</v>
      </c>
      <c r="T299" s="7" t="e">
        <f t="shared" si="75"/>
        <v>#N/A</v>
      </c>
    </row>
    <row r="300" spans="18:20" x14ac:dyDescent="0.25">
      <c r="R300" s="58" t="s">
        <v>34</v>
      </c>
      <c r="S300" s="4">
        <f t="shared" si="74"/>
        <v>-8.248275095085237</v>
      </c>
      <c r="T300" s="7">
        <f t="shared" si="75"/>
        <v>89.015203217311139</v>
      </c>
    </row>
    <row r="301" spans="18:20" x14ac:dyDescent="0.25">
      <c r="R301" s="58" t="s">
        <v>37</v>
      </c>
      <c r="S301" s="4">
        <f t="shared" si="74"/>
        <v>2.3058948744900795E-15</v>
      </c>
      <c r="T301" s="7">
        <f t="shared" si="75"/>
        <v>2.2136590795104763E-13</v>
      </c>
    </row>
    <row r="302" spans="18:20" ht="13.8" thickBot="1" x14ac:dyDescent="0.3">
      <c r="R302" s="59" t="s">
        <v>38</v>
      </c>
      <c r="S302" s="8">
        <f t="shared" si="74"/>
        <v>6.4007485848434813</v>
      </c>
      <c r="T302" s="9">
        <f t="shared" si="75"/>
        <v>7.2827179066529739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9" r:id="rId4" name="cmdRezero">
          <controlPr defaultSize="0" autoLine="0" autoPict="0" r:id="rId5">
            <anchor moveWithCells="1">
              <from>
                <xdr:col>0</xdr:col>
                <xdr:colOff>342900</xdr:colOff>
                <xdr:row>3</xdr:row>
                <xdr:rowOff>99060</xdr:rowOff>
              </from>
              <to>
                <xdr:col>1</xdr:col>
                <xdr:colOff>274320</xdr:colOff>
                <xdr:row>5</xdr:row>
                <xdr:rowOff>38100</xdr:rowOff>
              </to>
            </anchor>
          </controlPr>
        </control>
      </mc:Choice>
      <mc:Fallback>
        <control shapeId="1049" r:id="rId4" name="cmdRezero"/>
      </mc:Fallback>
    </mc:AlternateContent>
    <mc:AlternateContent xmlns:mc="http://schemas.openxmlformats.org/markup-compatibility/2006">
      <mc:Choice Requires="x14">
        <control shapeId="1050" r:id="rId6" name="cmdIncrement">
          <controlPr defaultSize="0" autoLine="0" autoPict="0" r:id="rId7">
            <anchor moveWithCells="1">
              <from>
                <xdr:col>0</xdr:col>
                <xdr:colOff>342900</xdr:colOff>
                <xdr:row>6</xdr:row>
                <xdr:rowOff>60960</xdr:rowOff>
              </from>
              <to>
                <xdr:col>1</xdr:col>
                <xdr:colOff>281940</xdr:colOff>
                <xdr:row>8</xdr:row>
                <xdr:rowOff>60960</xdr:rowOff>
              </to>
            </anchor>
          </controlPr>
        </control>
      </mc:Choice>
      <mc:Fallback>
        <control shapeId="1050" r:id="rId6" name="cmdIncrement"/>
      </mc:Fallback>
    </mc:AlternateContent>
    <mc:AlternateContent xmlns:mc="http://schemas.openxmlformats.org/markup-compatibility/2006">
      <mc:Choice Requires="x14">
        <control shapeId="1056" r:id="rId8" name="cmdDecrement">
          <controlPr defaultSize="0" autoLine="0" autoPict="0" r:id="rId9">
            <anchor moveWithCells="1">
              <from>
                <xdr:col>0</xdr:col>
                <xdr:colOff>350520</xdr:colOff>
                <xdr:row>9</xdr:row>
                <xdr:rowOff>22860</xdr:rowOff>
              </from>
              <to>
                <xdr:col>1</xdr:col>
                <xdr:colOff>289560</xdr:colOff>
                <xdr:row>11</xdr:row>
                <xdr:rowOff>22860</xdr:rowOff>
              </to>
            </anchor>
          </controlPr>
        </control>
      </mc:Choice>
      <mc:Fallback>
        <control shapeId="1056" r:id="rId8" name="cmdDecreme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200810BFG</vt:lpstr>
      <vt:lpstr>Main</vt:lpstr>
    </vt:vector>
  </TitlesOfParts>
  <Company>BCIT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Wndows 2K Pro</dc:creator>
  <cp:lastModifiedBy>lambmaster@hotmail.com</cp:lastModifiedBy>
  <cp:lastPrinted>2001-04-28T16:25:21Z</cp:lastPrinted>
  <dcterms:created xsi:type="dcterms:W3CDTF">2001-04-27T20:25:39Z</dcterms:created>
  <dcterms:modified xsi:type="dcterms:W3CDTF">2015-11-27T19:24:48Z</dcterms:modified>
</cp:coreProperties>
</file>