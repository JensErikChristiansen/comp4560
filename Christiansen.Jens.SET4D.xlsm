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s\Desktop\comp4560\"/>
    </mc:Choice>
  </mc:AlternateContent>
  <bookViews>
    <workbookView xWindow="-12" yWindow="120" windowWidth="11292" windowHeight="4356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F230" i="1" l="1"/>
  <c r="D120" i="1"/>
  <c r="D117" i="1" s="1"/>
  <c r="C120" i="1"/>
  <c r="C144" i="1" s="1"/>
  <c r="B120" i="1"/>
  <c r="B145" i="1" s="1"/>
  <c r="E108" i="1"/>
  <c r="E96" i="1"/>
  <c r="J114" i="1" s="1"/>
  <c r="E97" i="1"/>
  <c r="J115" i="1" s="1"/>
  <c r="E95" i="1"/>
  <c r="J113" i="1" s="1"/>
  <c r="D116" i="1" l="1"/>
  <c r="B114" i="1"/>
  <c r="B123" i="1"/>
  <c r="B139" i="1"/>
  <c r="B116" i="1"/>
  <c r="B131" i="1"/>
  <c r="B135" i="1"/>
  <c r="B140" i="1"/>
  <c r="B141" i="1"/>
  <c r="B117" i="1"/>
  <c r="B124" i="1"/>
  <c r="B136" i="1"/>
  <c r="B142" i="1"/>
  <c r="B115" i="1"/>
  <c r="B130" i="1"/>
  <c r="B138" i="1"/>
  <c r="B143" i="1"/>
  <c r="C116" i="1"/>
  <c r="D145" i="1"/>
  <c r="B144" i="1"/>
  <c r="D122" i="1"/>
  <c r="D125" i="1"/>
  <c r="D127" i="1"/>
  <c r="C129" i="1"/>
  <c r="D130" i="1"/>
  <c r="C132" i="1"/>
  <c r="C134" i="1"/>
  <c r="D137" i="1"/>
  <c r="D141" i="1"/>
  <c r="D144" i="1"/>
  <c r="C119" i="1"/>
  <c r="C124" i="1"/>
  <c r="C126" i="1"/>
  <c r="C128" i="1"/>
  <c r="D129" i="1"/>
  <c r="D132" i="1"/>
  <c r="C136" i="1"/>
  <c r="C140" i="1"/>
  <c r="C143" i="1"/>
  <c r="C114" i="1"/>
  <c r="C115" i="1" s="1"/>
  <c r="C118" i="1"/>
  <c r="D119" i="1"/>
  <c r="D121" i="1"/>
  <c r="C123" i="1"/>
  <c r="D124" i="1"/>
  <c r="D126" i="1"/>
  <c r="D128" i="1"/>
  <c r="C131" i="1"/>
  <c r="C133" i="1"/>
  <c r="C135" i="1"/>
  <c r="D136" i="1"/>
  <c r="D138" i="1"/>
  <c r="C142" i="1"/>
  <c r="C145" i="1"/>
  <c r="D114" i="1"/>
  <c r="D115" i="1" s="1"/>
  <c r="C117" i="1"/>
  <c r="D118" i="1"/>
  <c r="B122" i="1"/>
  <c r="D123" i="1"/>
  <c r="C125" i="1"/>
  <c r="C127" i="1"/>
  <c r="B129" i="1"/>
  <c r="C130" i="1"/>
  <c r="D131" i="1"/>
  <c r="B134" i="1"/>
  <c r="D135" i="1"/>
  <c r="B137" i="1"/>
  <c r="C141" i="1"/>
  <c r="D142" i="1"/>
  <c r="D32" i="1"/>
  <c r="C32" i="1"/>
  <c r="B32" i="1"/>
  <c r="B118" i="1" l="1"/>
  <c r="B119" i="1"/>
  <c r="B26" i="1"/>
  <c r="T66" i="1" l="1"/>
  <c r="B51" i="1"/>
  <c r="U66" i="1" s="1"/>
  <c r="C52" i="1"/>
  <c r="T67" i="1"/>
  <c r="B52" i="1"/>
  <c r="U67" i="1" s="1"/>
  <c r="C53" i="1"/>
  <c r="B53" i="1"/>
  <c r="U68" i="1" s="1"/>
  <c r="T69" i="1"/>
  <c r="B50" i="1"/>
  <c r="U69" i="1" s="1"/>
  <c r="C56" i="1"/>
  <c r="B56" i="1"/>
  <c r="U71" i="1" s="1"/>
  <c r="C57" i="1"/>
  <c r="B57" i="1"/>
  <c r="U72" i="1" s="1"/>
  <c r="C28" i="1"/>
  <c r="B28" i="1"/>
  <c r="U73" i="1" s="1"/>
  <c r="C26" i="1"/>
  <c r="U75" i="1"/>
  <c r="B27" i="1"/>
  <c r="U76" i="1" s="1"/>
  <c r="C29" i="1"/>
  <c r="B29" i="1"/>
  <c r="U78" i="1" s="1"/>
  <c r="C30" i="1"/>
  <c r="C31" i="1"/>
  <c r="F8" i="1"/>
  <c r="F12" i="1" s="1"/>
  <c r="D8" i="1"/>
  <c r="D12" i="1" s="1"/>
  <c r="D53" i="1"/>
  <c r="T6" i="1"/>
  <c r="T7" i="1"/>
  <c r="C55" i="1"/>
  <c r="B55" i="1"/>
  <c r="U8" i="1" s="1"/>
  <c r="C46" i="1"/>
  <c r="B46" i="1"/>
  <c r="U9" i="1" s="1"/>
  <c r="C45" i="1"/>
  <c r="U10" i="1"/>
  <c r="T11" i="1"/>
  <c r="U11" i="1"/>
  <c r="T13" i="1"/>
  <c r="B49" i="1"/>
  <c r="U13" i="1" s="1"/>
  <c r="T14" i="1"/>
  <c r="C54" i="1"/>
  <c r="B54" i="1"/>
  <c r="U16" i="1" s="1"/>
  <c r="C47" i="1"/>
  <c r="B47" i="1"/>
  <c r="U17" i="1" s="1"/>
  <c r="C48" i="1"/>
  <c r="B48" i="1"/>
  <c r="U18" i="1" s="1"/>
  <c r="T19" i="1"/>
  <c r="T21" i="1"/>
  <c r="U21" i="1"/>
  <c r="T22" i="1"/>
  <c r="B34" i="1"/>
  <c r="U49" i="1" s="1"/>
  <c r="C35" i="1"/>
  <c r="B35" i="1"/>
  <c r="U23" i="1" s="1"/>
  <c r="C38" i="1"/>
  <c r="U24" i="1"/>
  <c r="T25" i="1"/>
  <c r="U25" i="1"/>
  <c r="C42" i="1"/>
  <c r="B42" i="1"/>
  <c r="U27" i="1" s="1"/>
  <c r="C43" i="1"/>
  <c r="B43" i="1"/>
  <c r="U28" i="1" s="1"/>
  <c r="C44" i="1"/>
  <c r="U29" i="1"/>
  <c r="C39" i="1"/>
  <c r="U30" i="1"/>
  <c r="C41" i="1"/>
  <c r="B41" i="1"/>
  <c r="U33" i="1" s="1"/>
  <c r="C40" i="1"/>
  <c r="U34" i="1"/>
  <c r="C37" i="1"/>
  <c r="U35" i="1"/>
  <c r="C36" i="1"/>
  <c r="B36" i="1"/>
  <c r="U36" i="1" s="1"/>
  <c r="T39" i="1"/>
  <c r="U39" i="1"/>
  <c r="T40" i="1"/>
  <c r="U40" i="1"/>
  <c r="U41" i="1"/>
  <c r="U42" i="1"/>
  <c r="U43" i="1"/>
  <c r="U44" i="1"/>
  <c r="U45" i="1"/>
  <c r="U46" i="1"/>
  <c r="T47" i="1"/>
  <c r="U47" i="1"/>
  <c r="T49" i="1"/>
  <c r="T50" i="1"/>
  <c r="T56" i="1"/>
  <c r="T57" i="1"/>
  <c r="U62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68" i="1" s="1"/>
  <c r="D29" i="1"/>
  <c r="D28" i="1"/>
  <c r="D26" i="1"/>
  <c r="D27" i="1" s="1"/>
  <c r="T43" i="1"/>
  <c r="T33" i="1" l="1"/>
  <c r="T27" i="1"/>
  <c r="T41" i="1"/>
  <c r="T8" i="1"/>
  <c r="T72" i="1"/>
  <c r="T18" i="1"/>
  <c r="T16" i="1"/>
  <c r="D67" i="1"/>
  <c r="D69" i="1" s="1"/>
  <c r="D88" i="1"/>
  <c r="T78" i="1"/>
  <c r="T35" i="1"/>
  <c r="T29" i="1"/>
  <c r="T24" i="1"/>
  <c r="B67" i="1"/>
  <c r="B88" i="1"/>
  <c r="T75" i="1"/>
  <c r="T36" i="1"/>
  <c r="T34" i="1"/>
  <c r="T30" i="1"/>
  <c r="T28" i="1"/>
  <c r="T23" i="1"/>
  <c r="T9" i="1"/>
  <c r="T80" i="1"/>
  <c r="T73" i="1"/>
  <c r="T71" i="1"/>
  <c r="T15" i="1"/>
  <c r="T17" i="1"/>
  <c r="T63" i="1"/>
  <c r="U61" i="1"/>
  <c r="T79" i="1"/>
  <c r="C68" i="1"/>
  <c r="T42" i="1"/>
  <c r="T53" i="1"/>
  <c r="T44" i="1"/>
  <c r="T46" i="1"/>
  <c r="T60" i="1"/>
  <c r="T31" i="1"/>
  <c r="T62" i="1"/>
  <c r="C27" i="1"/>
  <c r="U53" i="1"/>
  <c r="T10" i="1"/>
  <c r="T61" i="1"/>
  <c r="T52" i="1"/>
  <c r="T54" i="1"/>
  <c r="T51" i="1"/>
  <c r="T59" i="1"/>
  <c r="U51" i="1"/>
  <c r="U14" i="1"/>
  <c r="B30" i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  <c r="C67" i="1" l="1"/>
  <c r="C69" i="1" s="1"/>
  <c r="C88" i="1"/>
  <c r="T76" i="1"/>
  <c r="U79" i="1"/>
  <c r="B68" i="1"/>
  <c r="B69" i="1" s="1"/>
  <c r="E98" i="1" l="1"/>
  <c r="J116" i="1" s="1"/>
  <c r="D70" i="1"/>
  <c r="B70" i="1"/>
  <c r="B83" i="1" s="1"/>
  <c r="C70" i="1"/>
  <c r="C83" i="1" s="1"/>
  <c r="C102" i="1" l="1"/>
  <c r="D91" i="1"/>
  <c r="D83" i="1"/>
  <c r="D74" i="1"/>
  <c r="P113" i="1"/>
  <c r="P136" i="1"/>
  <c r="P128" i="1"/>
  <c r="P140" i="1"/>
  <c r="P139" i="1"/>
  <c r="P116" i="1"/>
  <c r="P120" i="1"/>
  <c r="P144" i="1"/>
  <c r="P127" i="1"/>
  <c r="P123" i="1"/>
  <c r="P134" i="1"/>
  <c r="P130" i="1"/>
  <c r="P142" i="1"/>
  <c r="P129" i="1"/>
  <c r="P114" i="1"/>
  <c r="P138" i="1"/>
  <c r="P135" i="1"/>
  <c r="P118" i="1"/>
  <c r="P115" i="1"/>
  <c r="P133" i="1"/>
  <c r="P121" i="1"/>
  <c r="P126" i="1"/>
  <c r="P122" i="1"/>
  <c r="P124" i="1"/>
  <c r="P137" i="1"/>
  <c r="P117" i="1"/>
  <c r="P132" i="1"/>
  <c r="P141" i="1"/>
  <c r="P143" i="1"/>
  <c r="P125" i="1"/>
  <c r="P145" i="1"/>
  <c r="P131" i="1"/>
  <c r="P119" i="1"/>
  <c r="D90" i="1"/>
  <c r="B102" i="1"/>
  <c r="C74" i="1"/>
  <c r="B74" i="1"/>
  <c r="C75" i="1" l="1"/>
  <c r="C82" i="1" s="1"/>
  <c r="D75" i="1"/>
  <c r="D102" i="1"/>
  <c r="D92" i="1"/>
  <c r="D97" i="1" s="1"/>
  <c r="I115" i="1" s="1"/>
  <c r="B75" i="1"/>
  <c r="D96" i="1" l="1"/>
  <c r="I114" i="1" s="1"/>
  <c r="D98" i="1"/>
  <c r="I116" i="1" s="1"/>
  <c r="D95" i="1"/>
  <c r="I113" i="1" s="1"/>
  <c r="D108" i="1"/>
  <c r="C78" i="1"/>
  <c r="C81" i="1" s="1"/>
  <c r="B82" i="1"/>
  <c r="E107" i="1"/>
  <c r="C101" i="1"/>
  <c r="C91" i="1"/>
  <c r="D107" i="1"/>
  <c r="D78" i="1"/>
  <c r="D81" i="1" s="1"/>
  <c r="D82" i="1"/>
  <c r="B78" i="1"/>
  <c r="B81" i="1" s="1"/>
  <c r="O143" i="1" l="1"/>
  <c r="O135" i="1"/>
  <c r="O141" i="1"/>
  <c r="O134" i="1"/>
  <c r="O139" i="1"/>
  <c r="O131" i="1"/>
  <c r="O145" i="1"/>
  <c r="O138" i="1"/>
  <c r="O126" i="1"/>
  <c r="O127" i="1"/>
  <c r="O119" i="1"/>
  <c r="O118" i="1"/>
  <c r="O114" i="1"/>
  <c r="O123" i="1"/>
  <c r="O113" i="1"/>
  <c r="O142" i="1"/>
  <c r="O137" i="1"/>
  <c r="O130" i="1"/>
  <c r="O122" i="1"/>
  <c r="O115" i="1"/>
  <c r="O133" i="1"/>
  <c r="O129" i="1"/>
  <c r="O125" i="1"/>
  <c r="O121" i="1"/>
  <c r="O117" i="1"/>
  <c r="O144" i="1"/>
  <c r="O140" i="1"/>
  <c r="O136" i="1"/>
  <c r="O132" i="1"/>
  <c r="O128" i="1"/>
  <c r="O124" i="1"/>
  <c r="O120" i="1"/>
  <c r="O116" i="1"/>
  <c r="B100" i="1"/>
  <c r="B90" i="1"/>
  <c r="B101" i="1"/>
  <c r="C90" i="1"/>
  <c r="D101" i="1"/>
  <c r="C92" i="1"/>
  <c r="B91" i="1"/>
  <c r="C100" i="1"/>
  <c r="D100" i="1"/>
  <c r="B92" i="1"/>
  <c r="E105" i="1" l="1"/>
  <c r="B105" i="1"/>
  <c r="C105" i="1"/>
  <c r="D105" i="1"/>
  <c r="C96" i="1"/>
  <c r="H114" i="1" s="1"/>
  <c r="C97" i="1"/>
  <c r="H115" i="1" s="1"/>
  <c r="C108" i="1"/>
  <c r="C95" i="1"/>
  <c r="H113" i="1" s="1"/>
  <c r="C98" i="1"/>
  <c r="H116" i="1" s="1"/>
  <c r="C107" i="1"/>
  <c r="D106" i="1"/>
  <c r="E106" i="1"/>
  <c r="B106" i="1"/>
  <c r="C106" i="1"/>
  <c r="B108" i="1"/>
  <c r="B97" i="1"/>
  <c r="G115" i="1" s="1"/>
  <c r="B95" i="1"/>
  <c r="G113" i="1" s="1"/>
  <c r="B96" i="1"/>
  <c r="G114" i="1" s="1"/>
  <c r="B98" i="1"/>
  <c r="G116" i="1" s="1"/>
  <c r="B107" i="1"/>
  <c r="M113" i="1" l="1"/>
  <c r="M114" i="1"/>
  <c r="M118" i="1"/>
  <c r="M122" i="1"/>
  <c r="M126" i="1"/>
  <c r="M130" i="1"/>
  <c r="M134" i="1"/>
  <c r="M138" i="1"/>
  <c r="M142" i="1"/>
  <c r="M117" i="1"/>
  <c r="M129" i="1"/>
  <c r="M145" i="1"/>
  <c r="M115" i="1"/>
  <c r="M119" i="1"/>
  <c r="M123" i="1"/>
  <c r="M127" i="1"/>
  <c r="M131" i="1"/>
  <c r="M135" i="1"/>
  <c r="M139" i="1"/>
  <c r="M143" i="1"/>
  <c r="M125" i="1"/>
  <c r="M137" i="1"/>
  <c r="M116" i="1"/>
  <c r="M120" i="1"/>
  <c r="M124" i="1"/>
  <c r="M128" i="1"/>
  <c r="M132" i="1"/>
  <c r="M136" i="1"/>
  <c r="M140" i="1"/>
  <c r="M144" i="1"/>
  <c r="M121" i="1"/>
  <c r="M133" i="1"/>
  <c r="M141" i="1"/>
  <c r="N114" i="1"/>
  <c r="B219" i="1" s="1"/>
  <c r="N115" i="1"/>
  <c r="B220" i="1" s="1"/>
  <c r="N116" i="1"/>
  <c r="B217" i="1" s="1"/>
  <c r="N117" i="1"/>
  <c r="B222" i="1" s="1"/>
  <c r="N118" i="1"/>
  <c r="B223" i="1" s="1"/>
  <c r="N119" i="1"/>
  <c r="B224" i="1" s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B215" i="1" s="1"/>
  <c r="N145" i="1"/>
  <c r="B216" i="1" s="1"/>
  <c r="N113" i="1"/>
  <c r="B149" i="1" s="1"/>
  <c r="B151" i="1" l="1"/>
  <c r="B211" i="1"/>
  <c r="B188" i="1"/>
  <c r="B178" i="1"/>
  <c r="J250" i="1"/>
  <c r="I250" i="1"/>
  <c r="K250" i="1"/>
  <c r="C162" i="1"/>
  <c r="C195" i="1"/>
  <c r="L250" i="1"/>
  <c r="J257" i="1"/>
  <c r="C152" i="1"/>
  <c r="K257" i="1"/>
  <c r="C204" i="1"/>
  <c r="I257" i="1"/>
  <c r="L257" i="1"/>
  <c r="J252" i="1"/>
  <c r="K252" i="1"/>
  <c r="C158" i="1"/>
  <c r="C209" i="1"/>
  <c r="C213" i="1"/>
  <c r="I252" i="1"/>
  <c r="L252" i="1"/>
  <c r="J236" i="1"/>
  <c r="C166" i="1"/>
  <c r="K236" i="1"/>
  <c r="I236" i="1"/>
  <c r="L236" i="1"/>
  <c r="C193" i="1"/>
  <c r="C201" i="1"/>
  <c r="B152" i="1"/>
  <c r="B204" i="1"/>
  <c r="B210" i="1"/>
  <c r="B150" i="1"/>
  <c r="B206" i="1"/>
  <c r="B161" i="1"/>
  <c r="B172" i="1"/>
  <c r="B196" i="1"/>
  <c r="B174" i="1"/>
  <c r="B187" i="1"/>
  <c r="B167" i="1"/>
  <c r="B200" i="1"/>
  <c r="J235" i="1"/>
  <c r="I235" i="1"/>
  <c r="C169" i="1"/>
  <c r="K235" i="1"/>
  <c r="C165" i="1"/>
  <c r="L235" i="1"/>
  <c r="C183" i="1"/>
  <c r="C191" i="1"/>
  <c r="J246" i="1"/>
  <c r="K246" i="1"/>
  <c r="C186" i="1"/>
  <c r="L246" i="1"/>
  <c r="C173" i="1"/>
  <c r="I246" i="1"/>
  <c r="J230" i="1"/>
  <c r="C217" i="1"/>
  <c r="I230" i="1"/>
  <c r="K230" i="1"/>
  <c r="L230" i="1"/>
  <c r="J253" i="1"/>
  <c r="I253" i="1"/>
  <c r="K253" i="1"/>
  <c r="L253" i="1"/>
  <c r="C150" i="1"/>
  <c r="C210" i="1"/>
  <c r="J237" i="1"/>
  <c r="K237" i="1"/>
  <c r="C167" i="1"/>
  <c r="L237" i="1"/>
  <c r="C200" i="1"/>
  <c r="I237" i="1"/>
  <c r="J243" i="1"/>
  <c r="C198" i="1"/>
  <c r="K243" i="1"/>
  <c r="C177" i="1"/>
  <c r="C181" i="1"/>
  <c r="L243" i="1"/>
  <c r="I243" i="1"/>
  <c r="J248" i="1"/>
  <c r="K248" i="1"/>
  <c r="C153" i="1"/>
  <c r="I248" i="1"/>
  <c r="L248" i="1"/>
  <c r="C205" i="1"/>
  <c r="J232" i="1"/>
  <c r="C223" i="1"/>
  <c r="K232" i="1"/>
  <c r="I232" i="1"/>
  <c r="L232" i="1"/>
  <c r="B162" i="1"/>
  <c r="B195" i="1"/>
  <c r="B180" i="1"/>
  <c r="B199" i="1"/>
  <c r="J247" i="1"/>
  <c r="C185" i="1"/>
  <c r="I247" i="1"/>
  <c r="K247" i="1"/>
  <c r="L247" i="1"/>
  <c r="C154" i="1"/>
  <c r="J241" i="1"/>
  <c r="I241" i="1"/>
  <c r="K241" i="1"/>
  <c r="L241" i="1"/>
  <c r="C187" i="1"/>
  <c r="C174" i="1"/>
  <c r="B155" i="1"/>
  <c r="B184" i="1"/>
  <c r="B158" i="1"/>
  <c r="B209" i="1"/>
  <c r="B213" i="1"/>
  <c r="B153" i="1"/>
  <c r="B205" i="1"/>
  <c r="B197" i="1"/>
  <c r="B171" i="1"/>
  <c r="B175" i="1"/>
  <c r="B190" i="1"/>
  <c r="B168" i="1"/>
  <c r="B193" i="1"/>
  <c r="B201" i="1"/>
  <c r="B166" i="1"/>
  <c r="J258" i="1"/>
  <c r="K258" i="1"/>
  <c r="L258" i="1"/>
  <c r="C215" i="1"/>
  <c r="I258" i="1"/>
  <c r="J242" i="1"/>
  <c r="K242" i="1"/>
  <c r="I242" i="1"/>
  <c r="L242" i="1"/>
  <c r="C178" i="1"/>
  <c r="C188" i="1"/>
  <c r="J251" i="1"/>
  <c r="C157" i="1"/>
  <c r="C194" i="1"/>
  <c r="K251" i="1"/>
  <c r="L251" i="1"/>
  <c r="C163" i="1"/>
  <c r="I251" i="1"/>
  <c r="J249" i="1"/>
  <c r="C161" i="1"/>
  <c r="K249" i="1"/>
  <c r="L249" i="1"/>
  <c r="I249" i="1"/>
  <c r="C206" i="1"/>
  <c r="J233" i="1"/>
  <c r="K233" i="1"/>
  <c r="C224" i="1"/>
  <c r="L233" i="1"/>
  <c r="I233" i="1"/>
  <c r="J231" i="1"/>
  <c r="K231" i="1"/>
  <c r="L231" i="1"/>
  <c r="I231" i="1"/>
  <c r="C222" i="1"/>
  <c r="J244" i="1"/>
  <c r="C171" i="1"/>
  <c r="C175" i="1"/>
  <c r="I244" i="1"/>
  <c r="K244" i="1"/>
  <c r="L244" i="1"/>
  <c r="C197" i="1"/>
  <c r="J228" i="1"/>
  <c r="I228" i="1"/>
  <c r="K228" i="1"/>
  <c r="C219" i="1"/>
  <c r="L228" i="1"/>
  <c r="B186" i="1"/>
  <c r="B173" i="1"/>
  <c r="J234" i="1"/>
  <c r="K234" i="1"/>
  <c r="I234" i="1"/>
  <c r="L234" i="1"/>
  <c r="J259" i="1"/>
  <c r="I259" i="1"/>
  <c r="K259" i="1"/>
  <c r="L259" i="1"/>
  <c r="C216" i="1"/>
  <c r="B160" i="1"/>
  <c r="B203" i="1"/>
  <c r="B207" i="1"/>
  <c r="B212" i="1"/>
  <c r="B159" i="1"/>
  <c r="B157" i="1"/>
  <c r="B194" i="1"/>
  <c r="B163" i="1"/>
  <c r="B185" i="1"/>
  <c r="B154" i="1"/>
  <c r="B198" i="1"/>
  <c r="B177" i="1"/>
  <c r="B181" i="1"/>
  <c r="B179" i="1"/>
  <c r="B189" i="1"/>
  <c r="B165" i="1"/>
  <c r="B169" i="1"/>
  <c r="B191" i="1"/>
  <c r="B183" i="1"/>
  <c r="J255" i="1"/>
  <c r="C212" i="1"/>
  <c r="K255" i="1"/>
  <c r="I255" i="1"/>
  <c r="L255" i="1"/>
  <c r="C159" i="1"/>
  <c r="J254" i="1"/>
  <c r="K254" i="1"/>
  <c r="C151" i="1"/>
  <c r="L254" i="1"/>
  <c r="I254" i="1"/>
  <c r="C211" i="1"/>
  <c r="J238" i="1"/>
  <c r="C180" i="1"/>
  <c r="I238" i="1"/>
  <c r="K238" i="1"/>
  <c r="C199" i="1"/>
  <c r="L238" i="1"/>
  <c r="J239" i="1"/>
  <c r="C189" i="1"/>
  <c r="K239" i="1"/>
  <c r="I239" i="1"/>
  <c r="L239" i="1"/>
  <c r="C179" i="1"/>
  <c r="J245" i="1"/>
  <c r="K245" i="1"/>
  <c r="C172" i="1"/>
  <c r="I245" i="1"/>
  <c r="L245" i="1"/>
  <c r="C196" i="1"/>
  <c r="J229" i="1"/>
  <c r="K229" i="1"/>
  <c r="L229" i="1"/>
  <c r="C220" i="1"/>
  <c r="I229" i="1"/>
  <c r="J256" i="1"/>
  <c r="C203" i="1"/>
  <c r="C207" i="1"/>
  <c r="I256" i="1"/>
  <c r="K256" i="1"/>
  <c r="L256" i="1"/>
  <c r="C160" i="1"/>
  <c r="J240" i="1"/>
  <c r="K240" i="1"/>
  <c r="C190" i="1"/>
  <c r="L240" i="1"/>
  <c r="C168" i="1"/>
  <c r="I240" i="1"/>
  <c r="K227" i="1"/>
  <c r="C155" i="1"/>
  <c r="L227" i="1"/>
  <c r="I227" i="1"/>
  <c r="C149" i="1"/>
  <c r="J227" i="1"/>
  <c r="C184" i="1"/>
  <c r="O259" i="1" l="1"/>
  <c r="S294" i="1" s="1"/>
  <c r="O244" i="1"/>
  <c r="P231" i="1"/>
  <c r="T300" i="1" s="1"/>
  <c r="O251" i="1"/>
  <c r="S241" i="1" s="1"/>
  <c r="O246" i="1"/>
  <c r="P227" i="1"/>
  <c r="T227" i="1" s="1"/>
  <c r="O239" i="1"/>
  <c r="S267" i="1" s="1"/>
  <c r="P242" i="1"/>
  <c r="T256" i="1" s="1"/>
  <c r="O248" i="1"/>
  <c r="S231" i="1" s="1"/>
  <c r="O243" i="1"/>
  <c r="P237" i="1"/>
  <c r="O252" i="1"/>
  <c r="S236" i="1" s="1"/>
  <c r="O258" i="1"/>
  <c r="S293" i="1" s="1"/>
  <c r="P258" i="1"/>
  <c r="T293" i="1" s="1"/>
  <c r="O241" i="1"/>
  <c r="S265" i="1" s="1"/>
  <c r="O253" i="1"/>
  <c r="S228" i="1" s="1"/>
  <c r="P241" i="1"/>
  <c r="T252" i="1" s="1"/>
  <c r="P253" i="1"/>
  <c r="O230" i="1"/>
  <c r="S295" i="1" s="1"/>
  <c r="O227" i="1"/>
  <c r="O232" i="1"/>
  <c r="S301" i="1" s="1"/>
  <c r="O231" i="1"/>
  <c r="S300" i="1" s="1"/>
  <c r="O233" i="1"/>
  <c r="S302" i="1" s="1"/>
  <c r="S235" i="1"/>
  <c r="P236" i="1"/>
  <c r="T279" i="1" s="1"/>
  <c r="P245" i="1"/>
  <c r="P238" i="1"/>
  <c r="P255" i="1"/>
  <c r="P259" i="1"/>
  <c r="T294" i="1" s="1"/>
  <c r="P234" i="1"/>
  <c r="P233" i="1"/>
  <c r="T302" i="1" s="1"/>
  <c r="P232" i="1"/>
  <c r="T301" i="1" s="1"/>
  <c r="P246" i="1"/>
  <c r="P235" i="1"/>
  <c r="O236" i="1"/>
  <c r="S279" i="1" s="1"/>
  <c r="O257" i="1"/>
  <c r="P257" i="1"/>
  <c r="T233" i="1"/>
  <c r="T262" i="1"/>
  <c r="P228" i="1"/>
  <c r="T297" i="1" s="1"/>
  <c r="T245" i="1"/>
  <c r="T278" i="1"/>
  <c r="S251" i="1"/>
  <c r="S264" i="1"/>
  <c r="O235" i="1"/>
  <c r="P256" i="1"/>
  <c r="O245" i="1"/>
  <c r="O255" i="1"/>
  <c r="P251" i="1"/>
  <c r="O242" i="1"/>
  <c r="O247" i="1"/>
  <c r="P243" i="1"/>
  <c r="T228" i="1"/>
  <c r="T288" i="1"/>
  <c r="O250" i="1"/>
  <c r="S257" i="1"/>
  <c r="S249" i="1"/>
  <c r="S275" i="1"/>
  <c r="S253" i="1"/>
  <c r="P247" i="1"/>
  <c r="S255" i="1"/>
  <c r="S259" i="1"/>
  <c r="S276" i="1"/>
  <c r="O240" i="1"/>
  <c r="P240" i="1"/>
  <c r="O256" i="1"/>
  <c r="O229" i="1"/>
  <c r="S298" i="1" s="1"/>
  <c r="P229" i="1"/>
  <c r="T298" i="1" s="1"/>
  <c r="P239" i="1"/>
  <c r="O238" i="1"/>
  <c r="O254" i="1"/>
  <c r="P254" i="1"/>
  <c r="O234" i="1"/>
  <c r="O228" i="1"/>
  <c r="S297" i="1" s="1"/>
  <c r="P244" i="1"/>
  <c r="O249" i="1"/>
  <c r="P249" i="1"/>
  <c r="P248" i="1"/>
  <c r="O237" i="1"/>
  <c r="P230" i="1"/>
  <c r="T295" i="1" s="1"/>
  <c r="P252" i="1"/>
  <c r="P250" i="1"/>
  <c r="S272" i="1" l="1"/>
  <c r="S262" i="1"/>
  <c r="S227" i="1"/>
  <c r="S252" i="1"/>
  <c r="S291" i="1"/>
  <c r="S287" i="1"/>
  <c r="T266" i="1"/>
  <c r="S283" i="1"/>
  <c r="T265" i="1"/>
  <c r="S233" i="1"/>
  <c r="S288" i="1"/>
  <c r="T241" i="1"/>
  <c r="T272" i="1"/>
  <c r="T235" i="1"/>
  <c r="T271" i="1"/>
  <c r="T244" i="1"/>
  <c r="T240" i="1"/>
  <c r="T273" i="1"/>
  <c r="T283" i="1"/>
  <c r="T231" i="1"/>
  <c r="S258" i="1"/>
  <c r="S277" i="1"/>
  <c r="S285" i="1"/>
  <c r="S281" i="1"/>
  <c r="S238" i="1"/>
  <c r="S240" i="1"/>
  <c r="S273" i="1"/>
  <c r="S290" i="1"/>
  <c r="S237" i="1"/>
  <c r="S282" i="1"/>
  <c r="S230" i="1"/>
  <c r="T237" i="1"/>
  <c r="T290" i="1"/>
  <c r="S232" i="1"/>
  <c r="S263" i="1"/>
  <c r="T230" i="1"/>
  <c r="T282" i="1"/>
  <c r="T251" i="1"/>
  <c r="T264" i="1"/>
  <c r="T284" i="1"/>
  <c r="T239" i="1"/>
  <c r="T246" i="1"/>
  <c r="T268" i="1"/>
  <c r="S250" i="1"/>
  <c r="S274" i="1"/>
  <c r="S271" i="1"/>
  <c r="S244" i="1"/>
  <c r="T277" i="1"/>
  <c r="T258" i="1"/>
  <c r="S245" i="1"/>
  <c r="S278" i="1"/>
  <c r="T275" i="1"/>
  <c r="T249" i="1"/>
  <c r="T253" i="1"/>
  <c r="S289" i="1"/>
  <c r="S229" i="1"/>
  <c r="T287" i="1"/>
  <c r="T291" i="1"/>
  <c r="T236" i="1"/>
  <c r="T267" i="1"/>
  <c r="T257" i="1"/>
  <c r="S239" i="1"/>
  <c r="S284" i="1"/>
  <c r="T229" i="1"/>
  <c r="T289" i="1"/>
  <c r="S246" i="1"/>
  <c r="S268" i="1"/>
  <c r="T232" i="1"/>
  <c r="T263" i="1"/>
  <c r="T255" i="1"/>
  <c r="T259" i="1"/>
  <c r="T276" i="1"/>
  <c r="S266" i="1"/>
  <c r="S256" i="1"/>
  <c r="T238" i="1"/>
  <c r="T281" i="1"/>
  <c r="T285" i="1"/>
  <c r="S261" i="1"/>
  <c r="S243" i="1"/>
  <c r="S247" i="1"/>
  <c r="S269" i="1"/>
  <c r="T243" i="1"/>
  <c r="T247" i="1"/>
  <c r="T261" i="1"/>
  <c r="T269" i="1"/>
  <c r="T274" i="1"/>
  <c r="T250" i="1"/>
</calcChain>
</file>

<file path=xl/sharedStrings.xml><?xml version="1.0" encoding="utf-8"?>
<sst xmlns="http://schemas.openxmlformats.org/spreadsheetml/2006/main" count="603" uniqueCount="77">
  <si>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</si>
  <si>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</si>
  <si>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</si>
  <si>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</si>
  <si>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</si>
  <si>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</si>
  <si>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</si>
  <si>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</si>
  <si>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</si>
  <si>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</si>
  <si>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</si>
  <si>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</si>
  <si>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</si>
  <si>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</si>
  <si>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</si>
  <si>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</si>
  <si>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</si>
  <si>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</si>
  <si>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</si>
  <si>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</si>
  <si>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</si>
  <si>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</si>
  <si>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</si>
  <si>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</si>
  <si>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</si>
  <si>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</si>
  <si>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</si>
  <si>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</si>
  <si>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</si>
  <si>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</si>
  <si>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</si>
  <si>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</si>
  <si>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</si>
  <si>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</si>
  <si>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</si>
  <si>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</si>
  <si>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</si>
  <si>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</si>
  <si>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</si>
  <si>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</si>
  <si>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</si>
  <si>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</si>
  <si>
    <t>Asgn6201430Studenttemplate.xlsm</t>
  </si>
  <si>
    <t>Asgn6201530Studenttemplate.xlsm</t>
  </si>
  <si>
    <t>Assignment 6 Jens Christiansen Set 4D</t>
  </si>
  <si>
    <t>Christiansen.Jens.SET4D.xlsm</t>
  </si>
  <si>
    <t>Step 2</t>
  </si>
  <si>
    <t>Step 3:</t>
  </si>
  <si>
    <t>VRP</t>
  </si>
  <si>
    <t>Vector n</t>
  </si>
  <si>
    <t>Unit Vector n:</t>
  </si>
  <si>
    <t>Step 4:</t>
  </si>
  <si>
    <t>up vector:</t>
  </si>
  <si>
    <t>vector vp:</t>
  </si>
  <si>
    <t>Step 5:</t>
  </si>
  <si>
    <t>u:</t>
  </si>
  <si>
    <t>unit vector v:</t>
  </si>
  <si>
    <t>n:</t>
  </si>
  <si>
    <t>Step 6:</t>
  </si>
  <si>
    <t>v:</t>
  </si>
  <si>
    <t>M:</t>
  </si>
  <si>
    <t>Avw:</t>
  </si>
  <si>
    <t>M-1:</t>
  </si>
  <si>
    <t>T-r:</t>
  </si>
  <si>
    <t>M*M-1:</t>
  </si>
  <si>
    <t>Step 7:</t>
  </si>
  <si>
    <t>=</t>
  </si>
  <si>
    <t>Step 8:</t>
  </si>
  <si>
    <t>Step 9:</t>
  </si>
  <si>
    <t xml:space="preserve">Xuvn </t>
  </si>
  <si>
    <t>*</t>
  </si>
  <si>
    <t>u*</t>
  </si>
  <si>
    <t>v*</t>
  </si>
  <si>
    <t>u*h</t>
  </si>
  <si>
    <t>v*h</t>
  </si>
  <si>
    <t>n*h</t>
  </si>
  <si>
    <t>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</si>
</sst>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12" fillId="0" borderId="0" xfId="0" applyNumberFormat="1" applyFont="1"/>
    <xf numFmtId="0" fontId="12" fillId="0" borderId="0" xfId="0" applyFont="1"/>
    <xf numFmtId="0" fontId="1" fillId="0" borderId="0" xfId="0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Border="1"/>
    <xf numFmtId="0" fontId="0" fillId="0" borderId="1" xfId="0" applyFill="1" applyBorder="1"/>
    <xf numFmtId="0" fontId="0" fillId="0" borderId="10" xfId="0" applyFill="1" applyBorder="1"/>
    <xf numFmtId="0" fontId="1" fillId="0" borderId="6" xfId="0" applyFont="1" applyFill="1" applyBorder="1" applyAlignment="1">
      <alignment horizontal="center"/>
    </xf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6655616"/>
        <c:axId val="-36645280"/>
      </c:scatterChart>
      <c:valAx>
        <c:axId val="-36655616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45280"/>
        <c:crosses val="autoZero"/>
        <c:crossBetween val="midCat"/>
      </c:valAx>
      <c:valAx>
        <c:axId val="-36645280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556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6642560"/>
        <c:axId val="-36656704"/>
      </c:scatterChart>
      <c:valAx>
        <c:axId val="-36642560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56704"/>
        <c:crosses val="autoZero"/>
        <c:crossBetween val="midCat"/>
        <c:majorUnit val="40"/>
      </c:valAx>
      <c:valAx>
        <c:axId val="-36656704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42560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288</c:v>
                </c:pt>
                <c:pt idx="3">
                  <c:v>288</c:v>
                </c:pt>
                <c:pt idx="4">
                  <c:v>720</c:v>
                </c:pt>
                <c:pt idx="5">
                  <c:v>720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288</c:v>
                </c:pt>
                <c:pt idx="11">
                  <c:v>288</c:v>
                </c:pt>
                <c:pt idx="12">
                  <c:v>720</c:v>
                </c:pt>
                <c:pt idx="13">
                  <c:v>720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216</c:v>
                </c:pt>
                <c:pt idx="19">
                  <c:v>216</c:v>
                </c:pt>
                <c:pt idx="20">
                  <c:v>0</c:v>
                </c:pt>
                <c:pt idx="22">
                  <c:v>503.99999999999994</c:v>
                </c:pt>
                <c:pt idx="23">
                  <c:v>720</c:v>
                </c:pt>
                <c:pt idx="24">
                  <c:v>720</c:v>
                </c:pt>
                <c:pt idx="25">
                  <c:v>503.99999999999994</c:v>
                </c:pt>
                <c:pt idx="26">
                  <c:v>503.99999999999994</c:v>
                </c:pt>
                <c:pt idx="28">
                  <c:v>503.99999999999994</c:v>
                </c:pt>
                <c:pt idx="29">
                  <c:v>503.99999999999994</c:v>
                </c:pt>
                <c:pt idx="30">
                  <c:v>216</c:v>
                </c:pt>
                <c:pt idx="31">
                  <c:v>216</c:v>
                </c:pt>
                <c:pt idx="32">
                  <c:v>503.99999999999994</c:v>
                </c:pt>
                <c:pt idx="34">
                  <c:v>0</c:v>
                </c:pt>
                <c:pt idx="35">
                  <c:v>0</c:v>
                </c:pt>
                <c:pt idx="36">
                  <c:v>720</c:v>
                </c:pt>
                <c:pt idx="37">
                  <c:v>720</c:v>
                </c:pt>
                <c:pt idx="38">
                  <c:v>503.99999999999994</c:v>
                </c:pt>
                <c:pt idx="39">
                  <c:v>503.99999999999994</c:v>
                </c:pt>
                <c:pt idx="40">
                  <c:v>216</c:v>
                </c:pt>
                <c:pt idx="41">
                  <c:v>216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720</c:v>
                </c:pt>
                <c:pt idx="47">
                  <c:v>720</c:v>
                </c:pt>
                <c:pt idx="48">
                  <c:v>503.99999999999994</c:v>
                </c:pt>
                <c:pt idx="49">
                  <c:v>503.99999999999994</c:v>
                </c:pt>
                <c:pt idx="50">
                  <c:v>216</c:v>
                </c:pt>
                <c:pt idx="51">
                  <c:v>216</c:v>
                </c:pt>
                <c:pt idx="52">
                  <c:v>0</c:v>
                </c:pt>
                <c:pt idx="54">
                  <c:v>288</c:v>
                </c:pt>
                <c:pt idx="55">
                  <c:v>288</c:v>
                </c:pt>
                <c:pt idx="56">
                  <c:v>720</c:v>
                </c:pt>
                <c:pt idx="57">
                  <c:v>720</c:v>
                </c:pt>
                <c:pt idx="58">
                  <c:v>288</c:v>
                </c:pt>
                <c:pt idx="60">
                  <c:v>0</c:v>
                </c:pt>
                <c:pt idx="61">
                  <c:v>0</c:v>
                </c:pt>
                <c:pt idx="62">
                  <c:v>288</c:v>
                </c:pt>
                <c:pt idx="63">
                  <c:v>288</c:v>
                </c:pt>
                <c:pt idx="64">
                  <c:v>0</c:v>
                </c:pt>
                <c:pt idx="66">
                  <c:v>108</c:v>
                </c:pt>
                <c:pt idx="67">
                  <c:v>108</c:v>
                </c:pt>
                <c:pt idx="68">
                  <c:v>360</c:v>
                </c:pt>
                <c:pt idx="70">
                  <c:v>216</c:v>
                </c:pt>
                <c:pt idx="71">
                  <c:v>216</c:v>
                </c:pt>
                <c:pt idx="73">
                  <c:v>251.99999999999997</c:v>
                </c:pt>
                <c:pt idx="74">
                  <c:v>360</c:v>
                </c:pt>
                <c:pt idx="75">
                  <c:v>468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220</c:v>
                </c:pt>
                <c:pt idx="2">
                  <c:v>220</c:v>
                </c:pt>
                <c:pt idx="3">
                  <c:v>154</c:v>
                </c:pt>
                <c:pt idx="4">
                  <c:v>154</c:v>
                </c:pt>
                <c:pt idx="5">
                  <c:v>0</c:v>
                </c:pt>
                <c:pt idx="6">
                  <c:v>0</c:v>
                </c:pt>
                <c:pt idx="8">
                  <c:v>44</c:v>
                </c:pt>
                <c:pt idx="9">
                  <c:v>220</c:v>
                </c:pt>
                <c:pt idx="10">
                  <c:v>220</c:v>
                </c:pt>
                <c:pt idx="11">
                  <c:v>154</c:v>
                </c:pt>
                <c:pt idx="12">
                  <c:v>154</c:v>
                </c:pt>
                <c:pt idx="13">
                  <c:v>44</c:v>
                </c:pt>
                <c:pt idx="14">
                  <c:v>44</c:v>
                </c:pt>
                <c:pt idx="16">
                  <c:v>0</c:v>
                </c:pt>
                <c:pt idx="17">
                  <c:v>44</c:v>
                </c:pt>
                <c:pt idx="18">
                  <c:v>44</c:v>
                </c:pt>
                <c:pt idx="19">
                  <c:v>0</c:v>
                </c:pt>
                <c:pt idx="20">
                  <c:v>0</c:v>
                </c:pt>
                <c:pt idx="22">
                  <c:v>44</c:v>
                </c:pt>
                <c:pt idx="23">
                  <c:v>44</c:v>
                </c:pt>
                <c:pt idx="24">
                  <c:v>0</c:v>
                </c:pt>
                <c:pt idx="25">
                  <c:v>0</c:v>
                </c:pt>
                <c:pt idx="26">
                  <c:v>44</c:v>
                </c:pt>
                <c:pt idx="28">
                  <c:v>44</c:v>
                </c:pt>
                <c:pt idx="29">
                  <c:v>0</c:v>
                </c:pt>
                <c:pt idx="30">
                  <c:v>0</c:v>
                </c:pt>
                <c:pt idx="31">
                  <c:v>44</c:v>
                </c:pt>
                <c:pt idx="32">
                  <c:v>44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60">
                  <c:v>220</c:v>
                </c:pt>
                <c:pt idx="61">
                  <c:v>220</c:v>
                </c:pt>
                <c:pt idx="62">
                  <c:v>220</c:v>
                </c:pt>
                <c:pt idx="63">
                  <c:v>220</c:v>
                </c:pt>
                <c:pt idx="64">
                  <c:v>220</c:v>
                </c:pt>
                <c:pt idx="66">
                  <c:v>55</c:v>
                </c:pt>
                <c:pt idx="67">
                  <c:v>132</c:v>
                </c:pt>
                <c:pt idx="68">
                  <c:v>132</c:v>
                </c:pt>
                <c:pt idx="70">
                  <c:v>77</c:v>
                </c:pt>
                <c:pt idx="71">
                  <c:v>209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1817.5773271850564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1167.052980675182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6656160"/>
        <c:axId val="-36644736"/>
      </c:scatterChart>
      <c:valAx>
        <c:axId val="-36656160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44736"/>
        <c:crosses val="autoZero"/>
        <c:crossBetween val="midCat"/>
        <c:majorUnit val="200"/>
      </c:valAx>
      <c:valAx>
        <c:axId val="-36644736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56160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6644192"/>
        <c:axId val="-36655072"/>
      </c:scatterChart>
      <c:valAx>
        <c:axId val="-3664419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55072"/>
        <c:crosses val="autoZero"/>
        <c:crossBetween val="midCat"/>
      </c:valAx>
      <c:valAx>
        <c:axId val="-36655072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36644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Main!$C$149:$C$224</c:f>
              <c:numCache>
                <c:formatCode>General</c:formatCode>
                <c:ptCount val="76"/>
                <c:pt idx="0">
                  <c:v>-184.86774200872708</c:v>
                </c:pt>
                <c:pt idx="1">
                  <c:v>-359.13866808077864</c:v>
                </c:pt>
                <c:pt idx="2">
                  <c:v>-183.36112630226867</c:v>
                </c:pt>
                <c:pt idx="3">
                  <c:v>-131.0798484806532</c:v>
                </c:pt>
                <c:pt idx="4">
                  <c:v>132.58646418711169</c:v>
                </c:pt>
                <c:pt idx="5">
                  <c:v>254.57611243754775</c:v>
                </c:pt>
                <c:pt idx="6">
                  <c:v>-184.86774200872708</c:v>
                </c:pt>
                <c:pt idx="8">
                  <c:v>-219.72192722313738</c:v>
                </c:pt>
                <c:pt idx="9">
                  <c:v>-359.13866808077864</c:v>
                </c:pt>
                <c:pt idx="10">
                  <c:v>-183.36112630226867</c:v>
                </c:pt>
                <c:pt idx="11">
                  <c:v>-131.0798484806532</c:v>
                </c:pt>
                <c:pt idx="12">
                  <c:v>132.58646418711169</c:v>
                </c:pt>
                <c:pt idx="13">
                  <c:v>219.72192722313741</c:v>
                </c:pt>
                <c:pt idx="14">
                  <c:v>-219.72192722313738</c:v>
                </c:pt>
                <c:pt idx="16">
                  <c:v>-184.86774200872708</c:v>
                </c:pt>
                <c:pt idx="17">
                  <c:v>-219.72192722313738</c:v>
                </c:pt>
                <c:pt idx="18">
                  <c:v>-87.888770889254943</c:v>
                </c:pt>
                <c:pt idx="19">
                  <c:v>-53.034585674844635</c:v>
                </c:pt>
                <c:pt idx="20">
                  <c:v>-184.86774200872708</c:v>
                </c:pt>
                <c:pt idx="22">
                  <c:v>87.888770889254943</c:v>
                </c:pt>
                <c:pt idx="23">
                  <c:v>219.72192722313741</c:v>
                </c:pt>
                <c:pt idx="24">
                  <c:v>254.57611243754775</c:v>
                </c:pt>
                <c:pt idx="25">
                  <c:v>122.74295610366528</c:v>
                </c:pt>
                <c:pt idx="26">
                  <c:v>87.888770889254943</c:v>
                </c:pt>
                <c:pt idx="28">
                  <c:v>87.888770889254943</c:v>
                </c:pt>
                <c:pt idx="29">
                  <c:v>122.74295610366528</c:v>
                </c:pt>
                <c:pt idx="30">
                  <c:v>-53.034585674844635</c:v>
                </c:pt>
                <c:pt idx="31">
                  <c:v>-87.888770889254943</c:v>
                </c:pt>
                <c:pt idx="32">
                  <c:v>87.888770889254943</c:v>
                </c:pt>
                <c:pt idx="34">
                  <c:v>-184.86774200872708</c:v>
                </c:pt>
                <c:pt idx="35">
                  <c:v>-184.86774200872708</c:v>
                </c:pt>
                <c:pt idx="36">
                  <c:v>254.57611243754775</c:v>
                </c:pt>
                <c:pt idx="37">
                  <c:v>254.57611243754775</c:v>
                </c:pt>
                <c:pt idx="38">
                  <c:v>122.74295610366528</c:v>
                </c:pt>
                <c:pt idx="39">
                  <c:v>122.74295610366528</c:v>
                </c:pt>
                <c:pt idx="40">
                  <c:v>-53.034585674844635</c:v>
                </c:pt>
                <c:pt idx="41">
                  <c:v>-53.034585674844635</c:v>
                </c:pt>
                <c:pt idx="42">
                  <c:v>-184.86774200872708</c:v>
                </c:pt>
                <c:pt idx="44">
                  <c:v>-219.72192722313738</c:v>
                </c:pt>
                <c:pt idx="45">
                  <c:v>-219.72192722313738</c:v>
                </c:pt>
                <c:pt idx="46">
                  <c:v>219.72192722313741</c:v>
                </c:pt>
                <c:pt idx="47">
                  <c:v>219.72192722313741</c:v>
                </c:pt>
                <c:pt idx="48">
                  <c:v>87.888770889254943</c:v>
                </c:pt>
                <c:pt idx="49">
                  <c:v>87.888770889254943</c:v>
                </c:pt>
                <c:pt idx="50">
                  <c:v>-87.888770889254943</c:v>
                </c:pt>
                <c:pt idx="51">
                  <c:v>-87.888770889254943</c:v>
                </c:pt>
                <c:pt idx="52">
                  <c:v>-219.72192722313738</c:v>
                </c:pt>
                <c:pt idx="54">
                  <c:v>-131.0798484806532</c:v>
                </c:pt>
                <c:pt idx="55">
                  <c:v>-131.0798484806532</c:v>
                </c:pt>
                <c:pt idx="56">
                  <c:v>132.58646418711169</c:v>
                </c:pt>
                <c:pt idx="57">
                  <c:v>132.58646418711169</c:v>
                </c:pt>
                <c:pt idx="58">
                  <c:v>-131.0798484806532</c:v>
                </c:pt>
                <c:pt idx="60">
                  <c:v>-359.13866808077864</c:v>
                </c:pt>
                <c:pt idx="61">
                  <c:v>-359.13866808077864</c:v>
                </c:pt>
                <c:pt idx="62">
                  <c:v>-183.36112630226867</c:v>
                </c:pt>
                <c:pt idx="63">
                  <c:v>-183.36112630226867</c:v>
                </c:pt>
                <c:pt idx="64">
                  <c:v>-359.13866808077864</c:v>
                </c:pt>
                <c:pt idx="66">
                  <c:v>-162.51889535979873</c:v>
                </c:pt>
                <c:pt idx="67">
                  <c:v>-223.51371948501679</c:v>
                </c:pt>
                <c:pt idx="68">
                  <c:v>-69.708370428820587</c:v>
                </c:pt>
                <c:pt idx="70">
                  <c:v>-114.02940980006267</c:v>
                </c:pt>
                <c:pt idx="71">
                  <c:v>-218.59196544329359</c:v>
                </c:pt>
                <c:pt idx="73">
                  <c:v>-65.916578166941207</c:v>
                </c:pt>
                <c:pt idx="74">
                  <c:v>2.8421709430404007E-14</c:v>
                </c:pt>
                <c:pt idx="75">
                  <c:v>65.916578166941264</c:v>
                </c:pt>
              </c:numCache>
            </c:numRef>
          </c:xVal>
          <c:yVal>
            <c:numRef>
              <c:f>Main!$B$149:$B$224</c:f>
              <c:numCache>
                <c:formatCode>General</c:formatCode>
                <c:ptCount val="76"/>
                <c:pt idx="0">
                  <c:v>-457.97718227945575</c:v>
                </c:pt>
                <c:pt idx="1">
                  <c:v>-575.25276551099194</c:v>
                </c:pt>
                <c:pt idx="2">
                  <c:v>-774.50755425739385</c:v>
                </c:pt>
                <c:pt idx="3">
                  <c:v>-739.32487928793296</c:v>
                </c:pt>
                <c:pt idx="4">
                  <c:v>-1038.2070624075357</c:v>
                </c:pt>
                <c:pt idx="5">
                  <c:v>-956.11415414546036</c:v>
                </c:pt>
                <c:pt idx="6">
                  <c:v>-457.97718227945575</c:v>
                </c:pt>
                <c:pt idx="8">
                  <c:v>-189.23198498225742</c:v>
                </c:pt>
                <c:pt idx="9">
                  <c:v>-283.0524515674864</c:v>
                </c:pt>
                <c:pt idx="10">
                  <c:v>-482.30724031388826</c:v>
                </c:pt>
                <c:pt idx="11">
                  <c:v>-447.12456534442737</c:v>
                </c:pt>
                <c:pt idx="12">
                  <c:v>-746.00674846403012</c:v>
                </c:pt>
                <c:pt idx="13">
                  <c:v>-687.36895684826209</c:v>
                </c:pt>
                <c:pt idx="14">
                  <c:v>-189.23198498225742</c:v>
                </c:pt>
                <c:pt idx="16">
                  <c:v>418.62375955106097</c:v>
                </c:pt>
                <c:pt idx="17">
                  <c:v>395.16864290475371</c:v>
                </c:pt>
                <c:pt idx="18">
                  <c:v>245.72755134495242</c:v>
                </c:pt>
                <c:pt idx="19">
                  <c:v>269.18266799125956</c:v>
                </c:pt>
                <c:pt idx="20">
                  <c:v>418.62375955106097</c:v>
                </c:pt>
                <c:pt idx="22">
                  <c:v>46.472762598550503</c:v>
                </c:pt>
                <c:pt idx="23">
                  <c:v>-102.9683289612509</c:v>
                </c:pt>
                <c:pt idx="24">
                  <c:v>-79.513212314943644</c:v>
                </c:pt>
                <c:pt idx="25">
                  <c:v>69.927879244857763</c:v>
                </c:pt>
                <c:pt idx="26">
                  <c:v>46.472762598550503</c:v>
                </c:pt>
                <c:pt idx="28">
                  <c:v>630.87339048556169</c:v>
                </c:pt>
                <c:pt idx="29">
                  <c:v>654.32850713186895</c:v>
                </c:pt>
                <c:pt idx="30">
                  <c:v>853.58329587827075</c:v>
                </c:pt>
                <c:pt idx="31">
                  <c:v>830.12817923196349</c:v>
                </c:pt>
                <c:pt idx="32">
                  <c:v>630.87339048556169</c:v>
                </c:pt>
                <c:pt idx="34">
                  <c:v>418.62375955106097</c:v>
                </c:pt>
                <c:pt idx="35">
                  <c:v>-457.97718227945575</c:v>
                </c:pt>
                <c:pt idx="36">
                  <c:v>-956.11415414546036</c:v>
                </c:pt>
                <c:pt idx="37">
                  <c:v>-79.513212314943644</c:v>
                </c:pt>
                <c:pt idx="38">
                  <c:v>69.927879244857763</c:v>
                </c:pt>
                <c:pt idx="39">
                  <c:v>654.32850713186895</c:v>
                </c:pt>
                <c:pt idx="40">
                  <c:v>853.58329587827075</c:v>
                </c:pt>
                <c:pt idx="41">
                  <c:v>269.18266799125956</c:v>
                </c:pt>
                <c:pt idx="42">
                  <c:v>418.62375955106097</c:v>
                </c:pt>
                <c:pt idx="44">
                  <c:v>395.16864290475371</c:v>
                </c:pt>
                <c:pt idx="45">
                  <c:v>-189.23198498225742</c:v>
                </c:pt>
                <c:pt idx="46">
                  <c:v>-687.36895684826209</c:v>
                </c:pt>
                <c:pt idx="47">
                  <c:v>-102.9683289612509</c:v>
                </c:pt>
                <c:pt idx="48">
                  <c:v>46.472762598550503</c:v>
                </c:pt>
                <c:pt idx="49">
                  <c:v>630.87339048556169</c:v>
                </c:pt>
                <c:pt idx="50">
                  <c:v>830.12817923196349</c:v>
                </c:pt>
                <c:pt idx="51">
                  <c:v>245.72755134495242</c:v>
                </c:pt>
                <c:pt idx="52">
                  <c:v>395.16864290475371</c:v>
                </c:pt>
                <c:pt idx="54">
                  <c:v>-447.12456534442737</c:v>
                </c:pt>
                <c:pt idx="55">
                  <c:v>-739.32487928793296</c:v>
                </c:pt>
                <c:pt idx="56">
                  <c:v>-1038.2070624075357</c:v>
                </c:pt>
                <c:pt idx="57">
                  <c:v>-746.00674846403012</c:v>
                </c:pt>
                <c:pt idx="58">
                  <c:v>-447.12456534442737</c:v>
                </c:pt>
                <c:pt idx="60">
                  <c:v>-283.0524515674864</c:v>
                </c:pt>
                <c:pt idx="61">
                  <c:v>-575.25276551099194</c:v>
                </c:pt>
                <c:pt idx="62">
                  <c:v>-774.50755425739385</c:v>
                </c:pt>
                <c:pt idx="63">
                  <c:v>-482.30724031388826</c:v>
                </c:pt>
                <c:pt idx="64">
                  <c:v>-283.0524515674864</c:v>
                </c:pt>
                <c:pt idx="66">
                  <c:v>-269.81630992373493</c:v>
                </c:pt>
                <c:pt idx="67">
                  <c:v>-310.86276405477258</c:v>
                </c:pt>
                <c:pt idx="68">
                  <c:v>-485.21070420787419</c:v>
                </c:pt>
                <c:pt idx="70">
                  <c:v>-356.26441402678921</c:v>
                </c:pt>
                <c:pt idx="71">
                  <c:v>-426.62976396571094</c:v>
                </c:pt>
                <c:pt idx="73">
                  <c:v>659.12117366691064</c:v>
                </c:pt>
                <c:pt idx="74">
                  <c:v>-1.3642420526593924E-12</c:v>
                </c:pt>
                <c:pt idx="75">
                  <c:v>71.379611191850699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6643648"/>
        <c:axId val="-2023042896"/>
      </c:scatterChart>
      <c:valAx>
        <c:axId val="-3664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3042896"/>
        <c:crosses val="autoZero"/>
        <c:crossBetween val="midCat"/>
      </c:valAx>
      <c:valAx>
        <c:axId val="-202304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664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perspective transform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Main!$S$227:$S$302</c:f>
              <c:numCache>
                <c:formatCode>General</c:formatCode>
                <c:ptCount val="76"/>
                <c:pt idx="0">
                  <c:v>-16.102369532808144</c:v>
                </c:pt>
                <c:pt idx="1">
                  <c:v>-31.642186672430181</c:v>
                </c:pt>
                <c:pt idx="2">
                  <c:v>-16.477766497386828</c:v>
                </c:pt>
                <c:pt idx="3">
                  <c:v>-11.738117098794062</c:v>
                </c:pt>
                <c:pt idx="4">
                  <c:v>12.238316714298</c:v>
                </c:pt>
                <c:pt idx="5">
                  <c:v>23.301594372296112</c:v>
                </c:pt>
                <c:pt idx="6">
                  <c:v>-16.102369532808144</c:v>
                </c:pt>
                <c:pt idx="8">
                  <c:v>-21.113830959754665</c:v>
                </c:pt>
                <c:pt idx="9">
                  <c:v>-34.86135635272489</c:v>
                </c:pt>
                <c:pt idx="10">
                  <c:v>-18.191114800204666</c:v>
                </c:pt>
                <c:pt idx="11">
                  <c:v>-12.953907055409983</c:v>
                </c:pt>
                <c:pt idx="12">
                  <c:v>13.54909104524098</c:v>
                </c:pt>
                <c:pt idx="13">
                  <c:v>22.304468864708966</c:v>
                </c:pt>
                <c:pt idx="14">
                  <c:v>-21.113830959754665</c:v>
                </c:pt>
                <c:pt idx="16">
                  <c:v>-22.175615252877606</c:v>
                </c:pt>
                <c:pt idx="17">
                  <c:v>-26.439468795226841</c:v>
                </c:pt>
                <c:pt idx="18">
                  <c:v>-10.792211410067743</c:v>
                </c:pt>
                <c:pt idx="19">
                  <c:v>-6.4914776291490845</c:v>
                </c:pt>
                <c:pt idx="20">
                  <c:v>-22.175615252877606</c:v>
                </c:pt>
                <c:pt idx="22">
                  <c:v>11.094941965411696</c:v>
                </c:pt>
                <c:pt idx="23">
                  <c:v>28.33343737324676</c:v>
                </c:pt>
                <c:pt idx="24">
                  <c:v>32.717576842581956</c:v>
                </c:pt>
                <c:pt idx="25">
                  <c:v>15.443884763500334</c:v>
                </c:pt>
                <c:pt idx="26">
                  <c:v>11.094941965411696</c:v>
                </c:pt>
                <c:pt idx="28">
                  <c:v>15.087286893814012</c:v>
                </c:pt>
                <c:pt idx="29">
                  <c:v>20.976288827561635</c:v>
                </c:pt>
                <c:pt idx="30">
                  <c:v>-8.7318202063512054</c:v>
                </c:pt>
                <c:pt idx="31">
                  <c:v>-14.5329353407379</c:v>
                </c:pt>
                <c:pt idx="32">
                  <c:v>15.087286893814012</c:v>
                </c:pt>
                <c:pt idx="34">
                  <c:v>-22.175615252877606</c:v>
                </c:pt>
                <c:pt idx="35">
                  <c:v>-16.102369532808144</c:v>
                </c:pt>
                <c:pt idx="36">
                  <c:v>23.301594372296112</c:v>
                </c:pt>
                <c:pt idx="37">
                  <c:v>32.717576842581956</c:v>
                </c:pt>
                <c:pt idx="38">
                  <c:v>15.443884763500334</c:v>
                </c:pt>
                <c:pt idx="39">
                  <c:v>20.976288827561635</c:v>
                </c:pt>
                <c:pt idx="40">
                  <c:v>-8.7318202063512054</c:v>
                </c:pt>
                <c:pt idx="41">
                  <c:v>-6.4914776291490845</c:v>
                </c:pt>
                <c:pt idx="42">
                  <c:v>-22.175615252877606</c:v>
                </c:pt>
                <c:pt idx="44">
                  <c:v>-26.439468795226841</c:v>
                </c:pt>
                <c:pt idx="45">
                  <c:v>-21.113830959754665</c:v>
                </c:pt>
                <c:pt idx="46">
                  <c:v>22.304468864708966</c:v>
                </c:pt>
                <c:pt idx="47">
                  <c:v>28.33343737324676</c:v>
                </c:pt>
                <c:pt idx="48">
                  <c:v>11.094941965411696</c:v>
                </c:pt>
                <c:pt idx="49">
                  <c:v>15.087286893814012</c:v>
                </c:pt>
                <c:pt idx="50">
                  <c:v>-14.5329353407379</c:v>
                </c:pt>
                <c:pt idx="51">
                  <c:v>-10.792211410067743</c:v>
                </c:pt>
                <c:pt idx="52">
                  <c:v>-26.439468795226841</c:v>
                </c:pt>
                <c:pt idx="54">
                  <c:v>-12.953907055409983</c:v>
                </c:pt>
                <c:pt idx="55">
                  <c:v>-11.738117098794062</c:v>
                </c:pt>
                <c:pt idx="56">
                  <c:v>12.238316714298</c:v>
                </c:pt>
                <c:pt idx="57">
                  <c:v>13.54909104524098</c:v>
                </c:pt>
                <c:pt idx="58">
                  <c:v>-12.953907055409983</c:v>
                </c:pt>
                <c:pt idx="60">
                  <c:v>-34.86135635272489</c:v>
                </c:pt>
                <c:pt idx="61">
                  <c:v>-31.642186672430181</c:v>
                </c:pt>
                <c:pt idx="62">
                  <c:v>-16.477766497386828</c:v>
                </c:pt>
                <c:pt idx="63">
                  <c:v>-18.191114800204666</c:v>
                </c:pt>
                <c:pt idx="64">
                  <c:v>-34.86135635272489</c:v>
                </c:pt>
                <c:pt idx="66">
                  <c:v>-15.753032092142295</c:v>
                </c:pt>
                <c:pt idx="67">
                  <c:v>-21.761844260210545</c:v>
                </c:pt>
                <c:pt idx="68">
                  <c:v>-6.9179354777975943</c:v>
                </c:pt>
                <c:pt idx="70">
                  <c:v>-11.157183234809045</c:v>
                </c:pt>
                <c:pt idx="71">
                  <c:v>-21.553570109721132</c:v>
                </c:pt>
                <c:pt idx="73">
                  <c:v>-10.073098477829374</c:v>
                </c:pt>
                <c:pt idx="74">
                  <c:v>3.321588985398216E-15</c:v>
                </c:pt>
                <c:pt idx="75">
                  <c:v>8.2921313217956101</c:v>
                </c:pt>
              </c:numCache>
            </c:numRef>
          </c:xVal>
          <c:yVal>
            <c:numRef>
              <c:f>Main!$T$227:$T$302</c:f>
              <c:numCache>
                <c:formatCode>General</c:formatCode>
                <c:ptCount val="76"/>
                <c:pt idx="0">
                  <c:v>-39.890776760338753</c:v>
                </c:pt>
                <c:pt idx="1">
                  <c:v>-50.683084301121262</c:v>
                </c:pt>
                <c:pt idx="2">
                  <c:v>-69.601201120881157</c:v>
                </c:pt>
                <c:pt idx="3">
                  <c:v>-66.206072922142695</c:v>
                </c:pt>
                <c:pt idx="4">
                  <c:v>-95.831101030292587</c:v>
                </c:pt>
                <c:pt idx="5">
                  <c:v>-87.514040418752813</c:v>
                </c:pt>
                <c:pt idx="6">
                  <c:v>-39.890776760338753</c:v>
                </c:pt>
                <c:pt idx="8">
                  <c:v>-18.183948200293628</c:v>
                </c:pt>
                <c:pt idx="9">
                  <c:v>-27.475716923879371</c:v>
                </c:pt>
                <c:pt idx="10">
                  <c:v>-47.849326378244911</c:v>
                </c:pt>
                <c:pt idx="11">
                  <c:v>-44.186884016097828</c:v>
                </c:pt>
                <c:pt idx="12">
                  <c:v>-76.234881269922795</c:v>
                </c:pt>
                <c:pt idx="13">
                  <c:v>-69.776374576488308</c:v>
                </c:pt>
                <c:pt idx="14">
                  <c:v>-18.183948200293628</c:v>
                </c:pt>
                <c:pt idx="16">
                  <c:v>50.215572098453173</c:v>
                </c:pt>
                <c:pt idx="17">
                  <c:v>47.551235031367241</c:v>
                </c:pt>
                <c:pt idx="18">
                  <c:v>30.173862446371093</c:v>
                </c:pt>
                <c:pt idx="19">
                  <c:v>32.948183627438993</c:v>
                </c:pt>
                <c:pt idx="20">
                  <c:v>50.215572098453173</c:v>
                </c:pt>
                <c:pt idx="22">
                  <c:v>5.8666493886116067</c:v>
                </c:pt>
                <c:pt idx="23">
                  <c:v>-13.277904198831624</c:v>
                </c:pt>
                <c:pt idx="24">
                  <c:v>-10.218867783806283</c:v>
                </c:pt>
                <c:pt idx="25">
                  <c:v>8.7985342955358483</c:v>
                </c:pt>
                <c:pt idx="26">
                  <c:v>5.8666493886116067</c:v>
                </c:pt>
                <c:pt idx="28">
                  <c:v>108.29788310411439</c:v>
                </c:pt>
                <c:pt idx="29">
                  <c:v>111.8221704071819</c:v>
                </c:pt>
                <c:pt idx="30">
                  <c:v>140.53726970641745</c:v>
                </c:pt>
                <c:pt idx="31">
                  <c:v>137.26667276419434</c:v>
                </c:pt>
                <c:pt idx="32">
                  <c:v>108.29788310411439</c:v>
                </c:pt>
                <c:pt idx="34">
                  <c:v>50.215572098453173</c:v>
                </c:pt>
                <c:pt idx="35">
                  <c:v>-39.890776760338753</c:v>
                </c:pt>
                <c:pt idx="36">
                  <c:v>-87.514040418752813</c:v>
                </c:pt>
                <c:pt idx="37">
                  <c:v>-10.218867783806283</c:v>
                </c:pt>
                <c:pt idx="38">
                  <c:v>8.7985342955358483</c:v>
                </c:pt>
                <c:pt idx="39">
                  <c:v>111.8221704071819</c:v>
                </c:pt>
                <c:pt idx="40">
                  <c:v>140.53726970641745</c:v>
                </c:pt>
                <c:pt idx="41">
                  <c:v>32.948183627438993</c:v>
                </c:pt>
                <c:pt idx="42">
                  <c:v>50.215572098453173</c:v>
                </c:pt>
                <c:pt idx="44">
                  <c:v>47.551235031367241</c:v>
                </c:pt>
                <c:pt idx="45">
                  <c:v>-18.183948200293628</c:v>
                </c:pt>
                <c:pt idx="46">
                  <c:v>-69.776374576488308</c:v>
                </c:pt>
                <c:pt idx="47">
                  <c:v>-13.277904198831624</c:v>
                </c:pt>
                <c:pt idx="48">
                  <c:v>5.8666493886116067</c:v>
                </c:pt>
                <c:pt idx="49">
                  <c:v>108.29788310411439</c:v>
                </c:pt>
                <c:pt idx="50">
                  <c:v>137.26667276419434</c:v>
                </c:pt>
                <c:pt idx="51">
                  <c:v>30.173862446371093</c:v>
                </c:pt>
                <c:pt idx="52">
                  <c:v>47.551235031367241</c:v>
                </c:pt>
                <c:pt idx="54">
                  <c:v>-44.186884016097828</c:v>
                </c:pt>
                <c:pt idx="55">
                  <c:v>-66.206072922142695</c:v>
                </c:pt>
                <c:pt idx="56">
                  <c:v>-95.831101030292587</c:v>
                </c:pt>
                <c:pt idx="57">
                  <c:v>-76.234881269922795</c:v>
                </c:pt>
                <c:pt idx="58">
                  <c:v>-44.186884016097828</c:v>
                </c:pt>
                <c:pt idx="60">
                  <c:v>-27.475716923879371</c:v>
                </c:pt>
                <c:pt idx="61">
                  <c:v>-50.683084301121262</c:v>
                </c:pt>
                <c:pt idx="62">
                  <c:v>-69.601201120881157</c:v>
                </c:pt>
                <c:pt idx="63">
                  <c:v>-47.849326378244911</c:v>
                </c:pt>
                <c:pt idx="64">
                  <c:v>-27.475716923879371</c:v>
                </c:pt>
                <c:pt idx="66">
                  <c:v>-26.153420374917271</c:v>
                </c:pt>
                <c:pt idx="67">
                  <c:v>-30.266361605207976</c:v>
                </c:pt>
                <c:pt idx="68">
                  <c:v>-48.152844833380499</c:v>
                </c:pt>
                <c:pt idx="70">
                  <c:v>-34.858615459891439</c:v>
                </c:pt>
                <c:pt idx="71">
                  <c:v>-42.066479936172072</c:v>
                </c:pt>
                <c:pt idx="73">
                  <c:v>100.72416796809833</c:v>
                </c:pt>
                <c:pt idx="74">
                  <c:v>-1.5943627129911437E-13</c:v>
                </c:pt>
                <c:pt idx="75">
                  <c:v>8.9793664380227831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039088"/>
        <c:axId val="-2023038000"/>
      </c:scatterChart>
      <c:valAx>
        <c:axId val="-202303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3038000"/>
        <c:crosses val="autoZero"/>
        <c:crossBetween val="midCat"/>
      </c:valAx>
      <c:valAx>
        <c:axId val="-202303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303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99060</xdr:rowOff>
        </xdr:from>
        <xdr:to>
          <xdr:col>1</xdr:col>
          <xdr:colOff>274320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60960</xdr:rowOff>
        </xdr:from>
        <xdr:to>
          <xdr:col>1</xdr:col>
          <xdr:colOff>281940</xdr:colOff>
          <xdr:row>8</xdr:row>
          <xdr:rowOff>60960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9</xdr:row>
          <xdr:rowOff>22860</xdr:rowOff>
        </xdr:from>
        <xdr:to>
          <xdr:col>1</xdr:col>
          <xdr:colOff>289560</xdr:colOff>
          <xdr:row>11</xdr:row>
          <xdr:rowOff>22860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2" name="TextBox 1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3" name="TextBox 2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39" name="Text Box 18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0" name="Text Box 19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1" name="Text Box 20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2" name="Text Box 22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3" name="Text Box 23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graphicFrame macro="">
      <xdr:nvGraphicFramePr>
        <xdr:cNvPr id="44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190500</xdr:colOff>
      <xdr:row>153</xdr:row>
      <xdr:rowOff>160020</xdr:rowOff>
    </xdr:from>
    <xdr:to>
      <xdr:col>11</xdr:col>
      <xdr:colOff>76200</xdr:colOff>
      <xdr:row>174</xdr:row>
      <xdr:rowOff>91440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579120</xdr:colOff>
      <xdr:row>232</xdr:row>
      <xdr:rowOff>68580</xdr:rowOff>
    </xdr:from>
    <xdr:to>
      <xdr:col>28</xdr:col>
      <xdr:colOff>464820</xdr:colOff>
      <xdr:row>253</xdr:row>
      <xdr:rowOff>0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8"/>
  <sheetViews>
    <sheetView workbookViewId="0">
      <selection activeCell="A2" sqref="A2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47">
        <v>41960.439328703702</v>
      </c>
      <c r="B1" s="48" t="s">
        <v>41</v>
      </c>
      <c r="C1" s="48" t="s">
        <v>36</v>
      </c>
    </row>
    <row r="2" spans="1:3" x14ac:dyDescent="0.25">
      <c r="A2" s="47">
        <v>41960.439583333333</v>
      </c>
      <c r="B2" s="48" t="s">
        <v>41</v>
      </c>
      <c r="C2" s="48" t="s">
        <v>36</v>
      </c>
    </row>
    <row r="3" spans="1:3" x14ac:dyDescent="0.25">
      <c r="A3" s="47">
        <v>42322.379374999997</v>
      </c>
      <c r="B3" s="48" t="s">
        <v>42</v>
      </c>
      <c r="C3" s="48" t="s">
        <v>36</v>
      </c>
    </row>
    <row r="4" spans="1:3" x14ac:dyDescent="0.25">
      <c r="A4" s="47">
        <v>42322.381956018522</v>
      </c>
      <c r="B4" s="48" t="s">
        <v>42</v>
      </c>
      <c r="C4" s="48" t="s">
        <v>36</v>
      </c>
    </row>
    <row r="5" spans="1:3" x14ac:dyDescent="0.25">
      <c r="A5" s="47">
        <v>42334.665578703702</v>
      </c>
      <c r="B5" s="48" t="s">
        <v>43</v>
      </c>
      <c r="C5" s="48" t="s">
        <v>36</v>
      </c>
    </row>
    <row r="6" spans="1:3" x14ac:dyDescent="0.25">
      <c r="A6" s="47">
        <v>42334.665844907409</v>
      </c>
      <c r="B6" s="48" t="s">
        <v>43</v>
      </c>
      <c r="C6" s="48" t="s">
        <v>44</v>
      </c>
    </row>
    <row r="7" spans="1:3" x14ac:dyDescent="0.25">
      <c r="A7" s="47">
        <v>42334.665995370371</v>
      </c>
      <c r="B7" s="48" t="s">
        <v>43</v>
      </c>
      <c r="C7" s="48" t="s">
        <v>44</v>
      </c>
    </row>
    <row r="8" spans="1:3" x14ac:dyDescent="0.25">
      <c r="A8" s="47">
        <v>42334.666898148149</v>
      </c>
      <c r="B8" s="48" t="s">
        <v>45</v>
      </c>
      <c r="C8" s="48" t="s">
        <v>44</v>
      </c>
    </row>
    <row r="9" spans="1:3" x14ac:dyDescent="0.25">
      <c r="A9" s="51">
        <v>42334.667951388888</v>
      </c>
      <c r="B9" s="52" t="s">
        <v>45</v>
      </c>
      <c r="C9" s="52" t="s">
        <v>44</v>
      </c>
    </row>
    <row r="10" spans="1:3" x14ac:dyDescent="0.25">
      <c r="A10" s="51">
        <v>42334.668738425928</v>
      </c>
      <c r="B10" s="52" t="s">
        <v>45</v>
      </c>
      <c r="C10" s="52" t="s">
        <v>44</v>
      </c>
    </row>
    <row r="11" spans="1:3" x14ac:dyDescent="0.25">
      <c r="A11" s="51">
        <v>42334.668796296297</v>
      </c>
      <c r="B11" s="52" t="s">
        <v>45</v>
      </c>
      <c r="C11" s="52" t="s">
        <v>44</v>
      </c>
    </row>
    <row r="12" spans="1:3" x14ac:dyDescent="0.25">
      <c r="A12" s="51">
        <v>42334.669108796297</v>
      </c>
      <c r="B12" s="52" t="s">
        <v>45</v>
      </c>
      <c r="C12" s="52" t="s">
        <v>44</v>
      </c>
    </row>
    <row r="13" spans="1:3" x14ac:dyDescent="0.25">
      <c r="A13" s="51">
        <v>42334.66914351852</v>
      </c>
      <c r="B13" s="52" t="s">
        <v>45</v>
      </c>
      <c r="C13" s="52" t="s">
        <v>44</v>
      </c>
    </row>
    <row r="14" spans="1:3" x14ac:dyDescent="0.25">
      <c r="A14" s="51">
        <v>42334.672395833331</v>
      </c>
      <c r="B14" s="52" t="s">
        <v>45</v>
      </c>
      <c r="C14" s="52" t="s">
        <v>44</v>
      </c>
    </row>
    <row r="15" spans="1:3" x14ac:dyDescent="0.25">
      <c r="A15" s="51">
        <v>42334.674571759257</v>
      </c>
      <c r="B15" s="52" t="s">
        <v>45</v>
      </c>
      <c r="C15" s="52" t="s">
        <v>44</v>
      </c>
    </row>
    <row r="16" spans="1:3" x14ac:dyDescent="0.25">
      <c r="A16" s="51">
        <v>42334.674629629626</v>
      </c>
      <c r="B16" s="52" t="s">
        <v>45</v>
      </c>
      <c r="C16" s="52" t="s">
        <v>44</v>
      </c>
    </row>
    <row r="17" spans="1:3" x14ac:dyDescent="0.25">
      <c r="A17" s="51">
        <v>42334.675034722219</v>
      </c>
      <c r="B17" s="52" t="s">
        <v>45</v>
      </c>
      <c r="C17" s="52" t="s">
        <v>44</v>
      </c>
    </row>
    <row r="18" spans="1:3" x14ac:dyDescent="0.25">
      <c r="A18" s="51">
        <v>42334.675844907404</v>
      </c>
      <c r="B18" s="52" t="s">
        <v>45</v>
      </c>
      <c r="C18" s="52" t="s">
        <v>44</v>
      </c>
    </row>
    <row r="19" spans="1:3" x14ac:dyDescent="0.25">
      <c r="A19" s="51">
        <v>42334.675983796296</v>
      </c>
      <c r="B19" s="52" t="s">
        <v>45</v>
      </c>
      <c r="C19" s="52" t="s">
        <v>44</v>
      </c>
    </row>
    <row r="20" spans="1:3" x14ac:dyDescent="0.25">
      <c r="A20" s="51">
        <v>42334.676631944443</v>
      </c>
      <c r="B20" s="52" t="s">
        <v>45</v>
      </c>
      <c r="C20" s="52" t="s">
        <v>44</v>
      </c>
    </row>
    <row r="21" spans="1:3" x14ac:dyDescent="0.25">
      <c r="A21" s="51">
        <v>42334.677129629628</v>
      </c>
      <c r="B21" s="52" t="s">
        <v>45</v>
      </c>
      <c r="C21" s="52" t="s">
        <v>44</v>
      </c>
    </row>
    <row r="22" spans="1:3" x14ac:dyDescent="0.25">
      <c r="A22" s="51">
        <v>42334.677916666667</v>
      </c>
      <c r="B22" s="52" t="s">
        <v>45</v>
      </c>
      <c r="C22" s="52" t="s">
        <v>44</v>
      </c>
    </row>
    <row r="23" spans="1:3" x14ac:dyDescent="0.25">
      <c r="A23" s="51">
        <v>42334.679444444446</v>
      </c>
      <c r="B23" s="52" t="s">
        <v>45</v>
      </c>
      <c r="C23" s="52" t="s">
        <v>44</v>
      </c>
    </row>
    <row r="24" spans="1:3" x14ac:dyDescent="0.25">
      <c r="A24" s="51">
        <v>42334.679502314815</v>
      </c>
      <c r="B24" s="52" t="s">
        <v>45</v>
      </c>
      <c r="C24" s="52" t="s">
        <v>44</v>
      </c>
    </row>
    <row r="25" spans="1:3" x14ac:dyDescent="0.25">
      <c r="A25" s="51">
        <v>42334.680312500001</v>
      </c>
      <c r="B25" s="52" t="s">
        <v>45</v>
      </c>
      <c r="C25" s="52" t="s">
        <v>44</v>
      </c>
    </row>
    <row r="26" spans="1:3" x14ac:dyDescent="0.25">
      <c r="A26" s="51">
        <v>42334.683020833334</v>
      </c>
      <c r="B26" s="52" t="s">
        <v>45</v>
      </c>
      <c r="C26" s="52" t="s">
        <v>44</v>
      </c>
    </row>
    <row r="27" spans="1:3" x14ac:dyDescent="0.25">
      <c r="A27" s="51">
        <v>42334.683159722219</v>
      </c>
      <c r="B27" s="52" t="s">
        <v>45</v>
      </c>
      <c r="C27" s="52" t="s">
        <v>44</v>
      </c>
    </row>
    <row r="28" spans="1:3" x14ac:dyDescent="0.25">
      <c r="A28" s="51">
        <v>42334.684849537036</v>
      </c>
      <c r="B28" s="52" t="s">
        <v>45</v>
      </c>
      <c r="C28" s="52" t="s">
        <v>44</v>
      </c>
    </row>
    <row r="29" spans="1:3" x14ac:dyDescent="0.25">
      <c r="A29" s="51">
        <v>42334.685162037036</v>
      </c>
      <c r="B29" s="52" t="s">
        <v>45</v>
      </c>
      <c r="C29" s="52" t="s">
        <v>44</v>
      </c>
    </row>
    <row r="30" spans="1:3" x14ac:dyDescent="0.25">
      <c r="A30" s="51">
        <v>42334.68582175926</v>
      </c>
      <c r="B30" s="52" t="s">
        <v>45</v>
      </c>
      <c r="C30" s="52" t="s">
        <v>44</v>
      </c>
    </row>
    <row r="31" spans="1:3" x14ac:dyDescent="0.25">
      <c r="A31" s="51">
        <v>42334.685925925929</v>
      </c>
      <c r="B31" s="52" t="s">
        <v>45</v>
      </c>
      <c r="C31" s="52" t="s">
        <v>44</v>
      </c>
    </row>
    <row r="32" spans="1:3" x14ac:dyDescent="0.25">
      <c r="A32" s="51">
        <v>42334.686018518521</v>
      </c>
      <c r="B32" s="52" t="s">
        <v>45</v>
      </c>
      <c r="C32" s="52" t="s">
        <v>44</v>
      </c>
    </row>
    <row r="33" spans="1:3" x14ac:dyDescent="0.25">
      <c r="A33" s="51">
        <v>42334.686377314814</v>
      </c>
      <c r="B33" s="52" t="s">
        <v>45</v>
      </c>
      <c r="C33" s="52" t="s">
        <v>44</v>
      </c>
    </row>
    <row r="34" spans="1:3" x14ac:dyDescent="0.25">
      <c r="A34" s="51">
        <v>42334.691192129627</v>
      </c>
      <c r="B34" s="52" t="s">
        <v>45</v>
      </c>
      <c r="C34" s="52" t="s">
        <v>44</v>
      </c>
    </row>
    <row r="35" spans="1:3" x14ac:dyDescent="0.25">
      <c r="A35" s="51">
        <v>42334.694826388892</v>
      </c>
      <c r="B35" s="52" t="s">
        <v>45</v>
      </c>
      <c r="C35" s="52" t="s">
        <v>44</v>
      </c>
    </row>
    <row r="36" spans="1:3" x14ac:dyDescent="0.25">
      <c r="A36" s="47">
        <v>42334.697638888887</v>
      </c>
      <c r="B36" s="48" t="s">
        <v>45</v>
      </c>
      <c r="C36" s="48" t="s">
        <v>44</v>
      </c>
    </row>
    <row r="37" spans="1:3" x14ac:dyDescent="0.25">
      <c r="A37" s="47">
        <v>42334.703113425923</v>
      </c>
      <c r="B37" s="48" t="s">
        <v>45</v>
      </c>
      <c r="C37" s="48" t="s">
        <v>44</v>
      </c>
    </row>
    <row r="38" spans="1:3" x14ac:dyDescent="0.25">
      <c r="A38" s="47">
        <v>42334.703657407408</v>
      </c>
      <c r="B38" s="48" t="s">
        <v>45</v>
      </c>
      <c r="C38" s="48" t="s">
        <v>44</v>
      </c>
    </row>
    <row r="39" spans="1:3" x14ac:dyDescent="0.25">
      <c r="A39" s="47">
        <v>42334.703888888886</v>
      </c>
      <c r="B39" s="48" t="s">
        <v>45</v>
      </c>
      <c r="C39" s="48" t="s">
        <v>44</v>
      </c>
    </row>
    <row r="40" spans="1:3" x14ac:dyDescent="0.25">
      <c r="A40" s="47">
        <v>42334.704201388886</v>
      </c>
      <c r="B40" s="48" t="s">
        <v>45</v>
      </c>
      <c r="C40" s="48" t="s">
        <v>44</v>
      </c>
    </row>
    <row r="41" spans="1:3" x14ac:dyDescent="0.25">
      <c r="A41" s="47">
        <v>42334.704224537039</v>
      </c>
      <c r="B41" s="48" t="s">
        <v>45</v>
      </c>
      <c r="C41" s="48" t="s">
        <v>44</v>
      </c>
    </row>
    <row r="42" spans="1:3" x14ac:dyDescent="0.25">
      <c r="A42" s="47">
        <v>42334.707604166666</v>
      </c>
      <c r="B42" s="48" t="s">
        <v>45</v>
      </c>
      <c r="C42" s="48" t="s">
        <v>44</v>
      </c>
    </row>
    <row r="43" spans="1:3" x14ac:dyDescent="0.25">
      <c r="A43" s="47">
        <v>42334.711678240739</v>
      </c>
      <c r="B43" s="48" t="s">
        <v>45</v>
      </c>
      <c r="C43" s="48" t="s">
        <v>44</v>
      </c>
    </row>
    <row r="44" spans="1:3" x14ac:dyDescent="0.25">
      <c r="A44" s="47">
        <v>42334.711840277778</v>
      </c>
      <c r="B44" s="48" t="s">
        <v>45</v>
      </c>
      <c r="C44" s="48" t="s">
        <v>44</v>
      </c>
    </row>
    <row r="45" spans="1:3" x14ac:dyDescent="0.25">
      <c r="A45" s="47">
        <v>42334.712476851855</v>
      </c>
      <c r="B45" s="48" t="s">
        <v>45</v>
      </c>
      <c r="C45" s="48" t="s">
        <v>44</v>
      </c>
    </row>
    <row r="46" spans="1:3" x14ac:dyDescent="0.25">
      <c r="A46" s="47">
        <v>42334.713587962964</v>
      </c>
      <c r="B46" s="48" t="s">
        <v>45</v>
      </c>
      <c r="C46" s="48" t="s">
        <v>44</v>
      </c>
    </row>
    <row r="47" spans="1:3" x14ac:dyDescent="0.25">
      <c r="A47" s="47">
        <v>42334.714016203703</v>
      </c>
      <c r="B47" s="48" t="s">
        <v>45</v>
      </c>
      <c r="C47" s="48" t="s">
        <v>44</v>
      </c>
    </row>
    <row r="48" spans="1:3" x14ac:dyDescent="0.25">
      <c r="A48" s="47">
        <v>42334.714502314811</v>
      </c>
      <c r="B48" s="48" t="s">
        <v>45</v>
      </c>
      <c r="C48" s="48" t="s">
        <v>44</v>
      </c>
    </row>
    <row r="49" spans="1:3" x14ac:dyDescent="0.25">
      <c r="A49" s="47">
        <v>42334.716111111113</v>
      </c>
      <c r="B49" s="48" t="s">
        <v>45</v>
      </c>
      <c r="C49" s="48" t="s">
        <v>44</v>
      </c>
    </row>
    <row r="50" spans="1:3" x14ac:dyDescent="0.25">
      <c r="A50" s="47">
        <v>42334.717488425929</v>
      </c>
      <c r="B50" s="48" t="s">
        <v>45</v>
      </c>
      <c r="C50" s="48" t="s">
        <v>44</v>
      </c>
    </row>
    <row r="51" spans="1:3" x14ac:dyDescent="0.25">
      <c r="A51" s="47">
        <v>42334.720821759256</v>
      </c>
      <c r="B51" s="48" t="s">
        <v>45</v>
      </c>
      <c r="C51" s="48" t="s">
        <v>44</v>
      </c>
    </row>
    <row r="52" spans="1:3" x14ac:dyDescent="0.25">
      <c r="A52" s="47">
        <v>42334.720891203702</v>
      </c>
      <c r="B52" s="48" t="s">
        <v>45</v>
      </c>
      <c r="C52" s="48" t="s">
        <v>44</v>
      </c>
    </row>
    <row r="53" spans="1:3" x14ac:dyDescent="0.25">
      <c r="A53" s="47">
        <v>42334.722881944443</v>
      </c>
      <c r="B53" s="48" t="s">
        <v>45</v>
      </c>
      <c r="C53" s="48" t="s">
        <v>44</v>
      </c>
    </row>
    <row r="54" spans="1:3" x14ac:dyDescent="0.25">
      <c r="A54" s="47">
        <v>42334.723923611113</v>
      </c>
      <c r="B54" s="48" t="s">
        <v>45</v>
      </c>
      <c r="C54" s="48" t="s">
        <v>44</v>
      </c>
    </row>
    <row r="55" spans="1:3" x14ac:dyDescent="0.25">
      <c r="A55" s="47">
        <v>42334.724629629629</v>
      </c>
      <c r="B55" s="48" t="s">
        <v>45</v>
      </c>
      <c r="C55" s="48" t="s">
        <v>44</v>
      </c>
    </row>
    <row r="56" spans="1:3" x14ac:dyDescent="0.25">
      <c r="A56" s="47">
        <v>42334.724652777775</v>
      </c>
      <c r="B56" s="48" t="s">
        <v>45</v>
      </c>
      <c r="C56" s="48" t="s">
        <v>44</v>
      </c>
    </row>
    <row r="57" spans="1:3" x14ac:dyDescent="0.25">
      <c r="A57" s="47">
        <v>42334.733206018522</v>
      </c>
      <c r="B57" s="48" t="s">
        <v>45</v>
      </c>
      <c r="C57" s="48" t="s">
        <v>44</v>
      </c>
    </row>
    <row r="58" spans="1:3" x14ac:dyDescent="0.25">
      <c r="A58" s="47">
        <v>42334.734363425923</v>
      </c>
      <c r="B58" s="48" t="s">
        <v>45</v>
      </c>
      <c r="C58" s="48" t="s">
        <v>44</v>
      </c>
    </row>
    <row r="59" spans="1:3" x14ac:dyDescent="0.25">
      <c r="A59" s="47">
        <v>42334.734456018516</v>
      </c>
      <c r="B59" s="48" t="s">
        <v>45</v>
      </c>
      <c r="C59" s="48" t="s">
        <v>44</v>
      </c>
    </row>
    <row r="60" spans="1:3" x14ac:dyDescent="0.25">
      <c r="A60" s="47">
        <v>42334.73841435185</v>
      </c>
      <c r="B60" s="48" t="s">
        <v>45</v>
      </c>
      <c r="C60" s="48" t="s">
        <v>44</v>
      </c>
    </row>
    <row r="61" spans="1:3" x14ac:dyDescent="0.25">
      <c r="A61" s="47">
        <v>42334.73883101852</v>
      </c>
      <c r="B61" s="48" t="s">
        <v>45</v>
      </c>
      <c r="C61" s="48" t="s">
        <v>44</v>
      </c>
    </row>
    <row r="62" spans="1:3" x14ac:dyDescent="0.25">
      <c r="A62" s="47">
        <v>42334.739618055559</v>
      </c>
      <c r="B62" s="48" t="s">
        <v>45</v>
      </c>
      <c r="C62" s="48" t="s">
        <v>44</v>
      </c>
    </row>
    <row r="63" spans="1:3" x14ac:dyDescent="0.25">
      <c r="A63" s="47">
        <v>42334.739745370367</v>
      </c>
      <c r="B63" s="48" t="s">
        <v>45</v>
      </c>
      <c r="C63" s="48" t="s">
        <v>44</v>
      </c>
    </row>
    <row r="64" spans="1:3" x14ac:dyDescent="0.25">
      <c r="A64" s="47">
        <v>42334.740798611114</v>
      </c>
      <c r="B64" s="48" t="s">
        <v>45</v>
      </c>
      <c r="C64" s="48" t="s">
        <v>44</v>
      </c>
    </row>
    <row r="65" spans="1:3" x14ac:dyDescent="0.25">
      <c r="A65" s="47">
        <v>42334.74863425926</v>
      </c>
      <c r="B65" s="48" t="s">
        <v>45</v>
      </c>
      <c r="C65" s="48" t="s">
        <v>44</v>
      </c>
    </row>
    <row r="66" spans="1:3" x14ac:dyDescent="0.25">
      <c r="A66" s="51">
        <v>42334.749085648145</v>
      </c>
      <c r="B66" s="52" t="s">
        <v>45</v>
      </c>
      <c r="C66" s="52" t="s">
        <v>44</v>
      </c>
    </row>
    <row r="67" spans="1:3" x14ac:dyDescent="0.25">
      <c r="A67" s="51">
        <v>42334.7575</v>
      </c>
      <c r="B67" s="52" t="s">
        <v>45</v>
      </c>
      <c r="C67" s="52" t="s">
        <v>44</v>
      </c>
    </row>
    <row r="68" spans="1:3" x14ac:dyDescent="0.25">
      <c r="A68" s="51">
        <v>42334.763831018521</v>
      </c>
      <c r="B68" s="52" t="s">
        <v>45</v>
      </c>
      <c r="C68" s="52" t="s">
        <v>44</v>
      </c>
    </row>
    <row r="69" spans="1:3" x14ac:dyDescent="0.25">
      <c r="A69" s="51">
        <v>42334.764768518522</v>
      </c>
      <c r="B69" s="52" t="s">
        <v>45</v>
      </c>
      <c r="C69" s="52" t="s">
        <v>44</v>
      </c>
    </row>
    <row r="70" spans="1:3" x14ac:dyDescent="0.25">
      <c r="A70" s="51">
        <v>42334.766712962963</v>
      </c>
      <c r="B70" s="52" t="s">
        <v>45</v>
      </c>
      <c r="C70" s="52" t="s">
        <v>44</v>
      </c>
    </row>
    <row r="71" spans="1:3" x14ac:dyDescent="0.25">
      <c r="A71" s="51">
        <v>42334.76699074074</v>
      </c>
      <c r="B71" s="52" t="s">
        <v>45</v>
      </c>
      <c r="C71" s="52" t="s">
        <v>44</v>
      </c>
    </row>
    <row r="72" spans="1:3" x14ac:dyDescent="0.25">
      <c r="A72" s="51">
        <v>42334.767997685187</v>
      </c>
      <c r="B72" s="52" t="s">
        <v>45</v>
      </c>
      <c r="C72" s="52" t="s">
        <v>44</v>
      </c>
    </row>
    <row r="73" spans="1:3" x14ac:dyDescent="0.25">
      <c r="A73" s="51">
        <v>42334.768726851849</v>
      </c>
      <c r="B73" s="52" t="s">
        <v>45</v>
      </c>
      <c r="C73" s="52" t="s">
        <v>44</v>
      </c>
    </row>
    <row r="74" spans="1:3" x14ac:dyDescent="0.25">
      <c r="A74" s="51">
        <v>42334.773229166669</v>
      </c>
      <c r="B74" s="52" t="s">
        <v>45</v>
      </c>
      <c r="C74" s="52" t="s">
        <v>44</v>
      </c>
    </row>
    <row r="75" spans="1:3" x14ac:dyDescent="0.25">
      <c r="A75" s="47">
        <v>42335.460532407407</v>
      </c>
      <c r="B75" s="48" t="s">
        <v>45</v>
      </c>
      <c r="C75" s="48" t="s">
        <v>44</v>
      </c>
    </row>
    <row r="76" spans="1:3" x14ac:dyDescent="0.25">
      <c r="A76" s="47">
        <v>42335.465046296296</v>
      </c>
      <c r="B76" s="48" t="s">
        <v>45</v>
      </c>
      <c r="C76" s="48" t="s">
        <v>44</v>
      </c>
    </row>
    <row r="77" spans="1:3" x14ac:dyDescent="0.25">
      <c r="A77" s="47">
        <v>42335.466770833336</v>
      </c>
      <c r="B77" s="48" t="s">
        <v>45</v>
      </c>
      <c r="C77" s="48" t="s">
        <v>44</v>
      </c>
    </row>
    <row r="78" spans="1:3" x14ac:dyDescent="0.25">
      <c r="A78" s="47">
        <v>42335.467442129629</v>
      </c>
      <c r="B78" s="48" t="s">
        <v>45</v>
      </c>
      <c r="C78" s="48" t="s">
        <v>44</v>
      </c>
    </row>
    <row r="79" spans="1:3" x14ac:dyDescent="0.25">
      <c r="A79" s="47">
        <v>42335.470243055555</v>
      </c>
      <c r="B79" s="48" t="s">
        <v>45</v>
      </c>
      <c r="C79" s="48" t="s">
        <v>44</v>
      </c>
    </row>
    <row r="80" spans="1:3" x14ac:dyDescent="0.25">
      <c r="A80" s="47">
        <v>42335.475555555553</v>
      </c>
      <c r="B80" s="48" t="s">
        <v>45</v>
      </c>
      <c r="C80" s="48" t="s">
        <v>44</v>
      </c>
    </row>
    <row r="81" spans="1:3" x14ac:dyDescent="0.25">
      <c r="A81" s="47">
        <v>42335.475868055553</v>
      </c>
      <c r="B81" s="48" t="s">
        <v>45</v>
      </c>
      <c r="C81" s="48" t="s">
        <v>44</v>
      </c>
    </row>
    <row r="82" spans="1:3" x14ac:dyDescent="0.25">
      <c r="A82" s="47">
        <v>42335.477002314816</v>
      </c>
      <c r="B82" s="48" t="s">
        <v>45</v>
      </c>
      <c r="C82" s="48" t="s">
        <v>44</v>
      </c>
    </row>
    <row r="83" spans="1:3" x14ac:dyDescent="0.25">
      <c r="A83" s="47">
        <v>42335.477418981478</v>
      </c>
      <c r="B83" s="48" t="s">
        <v>45</v>
      </c>
      <c r="C83" s="48" t="s">
        <v>44</v>
      </c>
    </row>
    <row r="84" spans="1:3" x14ac:dyDescent="0.25">
      <c r="A84" s="47">
        <v>42335.480520833335</v>
      </c>
      <c r="B84" s="48" t="s">
        <v>45</v>
      </c>
      <c r="C84" s="48" t="s">
        <v>44</v>
      </c>
    </row>
    <row r="85" spans="1:3" x14ac:dyDescent="0.25">
      <c r="A85" s="47">
        <v>42335.484768518516</v>
      </c>
      <c r="B85" s="48" t="s">
        <v>45</v>
      </c>
      <c r="C85" s="48" t="s">
        <v>44</v>
      </c>
    </row>
    <row r="86" spans="1:3" x14ac:dyDescent="0.25">
      <c r="A86" s="47">
        <v>42335.484791666669</v>
      </c>
      <c r="B86" s="48" t="s">
        <v>45</v>
      </c>
      <c r="C86" s="48" t="s">
        <v>44</v>
      </c>
    </row>
    <row r="87" spans="1:3" x14ac:dyDescent="0.25">
      <c r="A87" s="47">
        <v>42335.484942129631</v>
      </c>
      <c r="B87" s="48" t="s">
        <v>45</v>
      </c>
      <c r="C87" s="48" t="s">
        <v>44</v>
      </c>
    </row>
    <row r="88" spans="1:3" x14ac:dyDescent="0.25">
      <c r="A88" s="47">
        <v>42335.485405092593</v>
      </c>
      <c r="B88" s="48" t="s">
        <v>45</v>
      </c>
      <c r="C88" s="48" t="s">
        <v>44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02"/>
  <sheetViews>
    <sheetView tabSelected="1" topLeftCell="B223" workbookViewId="0">
      <selection activeCell="G228" sqref="G228"/>
    </sheetView>
  </sheetViews>
  <sheetFormatPr defaultColWidth="9" defaultRowHeight="13.2" x14ac:dyDescent="0.25"/>
  <cols>
    <col min="1" max="1" width="13.109375" customWidth="1"/>
    <col min="18" max="18" width="10.109375" customWidth="1"/>
  </cols>
  <sheetData>
    <row r="1" spans="1:21" ht="17.399999999999999" x14ac:dyDescent="0.3">
      <c r="A1" s="39" t="s">
        <v>44</v>
      </c>
    </row>
    <row r="2" spans="1:21" ht="21" x14ac:dyDescent="0.4">
      <c r="A2" s="1" t="s">
        <v>40</v>
      </c>
    </row>
    <row r="3" spans="1:21" ht="13.8" thickBot="1" x14ac:dyDescent="0.3"/>
    <row r="4" spans="1:21" ht="16.2" thickBot="1" x14ac:dyDescent="0.35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8" thickTop="1" x14ac:dyDescent="0.25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5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220</v>
      </c>
    </row>
    <row r="7" spans="1:21" x14ac:dyDescent="0.25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288</v>
      </c>
      <c r="U7" s="38">
        <f t="shared" si="1"/>
        <v>220</v>
      </c>
    </row>
    <row r="8" spans="1:21" x14ac:dyDescent="0.25">
      <c r="A8" s="17"/>
      <c r="B8" s="13"/>
      <c r="C8" s="4"/>
      <c r="D8" s="13">
        <f>3*MAX(B32,C32)</f>
        <v>2160</v>
      </c>
      <c r="E8" s="21">
        <v>1</v>
      </c>
      <c r="F8" s="13">
        <f>8*D32</f>
        <v>4800</v>
      </c>
      <c r="G8" s="7"/>
      <c r="S8" s="37" t="s">
        <v>0</v>
      </c>
      <c r="T8" s="4">
        <f t="shared" si="0"/>
        <v>288</v>
      </c>
      <c r="U8" s="38">
        <f t="shared" si="1"/>
        <v>154</v>
      </c>
    </row>
    <row r="9" spans="1:21" x14ac:dyDescent="0.25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720</v>
      </c>
      <c r="U9" s="38">
        <f t="shared" si="1"/>
        <v>154</v>
      </c>
    </row>
    <row r="10" spans="1:21" x14ac:dyDescent="0.25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720</v>
      </c>
      <c r="U10" s="38">
        <f t="shared" si="1"/>
        <v>0</v>
      </c>
    </row>
    <row r="11" spans="1:21" x14ac:dyDescent="0.25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8" thickBot="1" x14ac:dyDescent="0.3">
      <c r="A12" s="26"/>
      <c r="B12" s="8"/>
      <c r="C12" s="8"/>
      <c r="D12" s="15">
        <f>D8*COS(E8)</f>
        <v>1167.052980675182</v>
      </c>
      <c r="E12" s="15">
        <f>D8*SIN(E8)</f>
        <v>1817.5773271850564</v>
      </c>
      <c r="F12" s="15">
        <f>F8</f>
        <v>4800</v>
      </c>
      <c r="G12" s="9"/>
      <c r="S12" s="37"/>
      <c r="T12" s="4"/>
      <c r="U12" s="38"/>
    </row>
    <row r="13" spans="1:21" x14ac:dyDescent="0.25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44</v>
      </c>
    </row>
    <row r="14" spans="1:21" x14ac:dyDescent="0.25">
      <c r="B14" s="3"/>
      <c r="D14" s="3"/>
      <c r="S14" s="37" t="s">
        <v>24</v>
      </c>
      <c r="T14" s="4">
        <f t="shared" si="0"/>
        <v>0</v>
      </c>
      <c r="U14" s="38">
        <f t="shared" si="1"/>
        <v>220</v>
      </c>
    </row>
    <row r="15" spans="1:21" x14ac:dyDescent="0.25">
      <c r="B15" s="3"/>
      <c r="D15" s="3"/>
      <c r="S15" s="37" t="s">
        <v>27</v>
      </c>
      <c r="T15" s="4">
        <f t="shared" si="0"/>
        <v>288</v>
      </c>
      <c r="U15" s="38">
        <f t="shared" si="1"/>
        <v>220</v>
      </c>
    </row>
    <row r="16" spans="1:21" x14ac:dyDescent="0.25">
      <c r="B16" s="3"/>
      <c r="D16" s="3"/>
      <c r="S16" s="37" t="s">
        <v>28</v>
      </c>
      <c r="T16" s="4">
        <f t="shared" si="0"/>
        <v>288</v>
      </c>
      <c r="U16" s="38">
        <f t="shared" si="1"/>
        <v>154</v>
      </c>
    </row>
    <row r="17" spans="1:21" ht="14.4" customHeight="1" x14ac:dyDescent="0.25">
      <c r="D17" s="3"/>
      <c r="S17" s="37" t="s">
        <v>23</v>
      </c>
      <c r="T17" s="4">
        <f t="shared" si="0"/>
        <v>720</v>
      </c>
      <c r="U17" s="38">
        <f t="shared" si="1"/>
        <v>154</v>
      </c>
    </row>
    <row r="18" spans="1:21" x14ac:dyDescent="0.25">
      <c r="S18" s="37" t="s">
        <v>17</v>
      </c>
      <c r="T18" s="4">
        <f t="shared" si="0"/>
        <v>720</v>
      </c>
      <c r="U18" s="38">
        <f t="shared" si="1"/>
        <v>44</v>
      </c>
    </row>
    <row r="19" spans="1:21" x14ac:dyDescent="0.25">
      <c r="S19" s="37" t="s">
        <v>16</v>
      </c>
      <c r="T19" s="4">
        <f t="shared" si="0"/>
        <v>0</v>
      </c>
      <c r="U19" s="38">
        <f t="shared" si="1"/>
        <v>44</v>
      </c>
    </row>
    <row r="20" spans="1:21" x14ac:dyDescent="0.25">
      <c r="S20" s="37"/>
      <c r="T20" s="4"/>
      <c r="U20" s="38"/>
    </row>
    <row r="21" spans="1:21" x14ac:dyDescent="0.25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5">
      <c r="S22" s="37" t="s">
        <v>7</v>
      </c>
      <c r="T22" s="4">
        <f t="shared" si="0"/>
        <v>0</v>
      </c>
      <c r="U22" s="38">
        <f t="shared" si="1"/>
        <v>44</v>
      </c>
    </row>
    <row r="23" spans="1:21" x14ac:dyDescent="0.25">
      <c r="A23" t="s">
        <v>35</v>
      </c>
      <c r="C23" s="2"/>
      <c r="S23" s="37" t="s">
        <v>8</v>
      </c>
      <c r="T23" s="4">
        <f t="shared" si="0"/>
        <v>216</v>
      </c>
      <c r="U23" s="38">
        <f t="shared" si="1"/>
        <v>44</v>
      </c>
    </row>
    <row r="24" spans="1:21" ht="13.8" thickBot="1" x14ac:dyDescent="0.3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216</v>
      </c>
      <c r="U24" s="38">
        <f t="shared" si="1"/>
        <v>0</v>
      </c>
    </row>
    <row r="25" spans="1:21" x14ac:dyDescent="0.25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5">
      <c r="A26" s="23" t="s">
        <v>30</v>
      </c>
      <c r="B26">
        <f>0.35*B32</f>
        <v>77</v>
      </c>
      <c r="C26">
        <f>0.3*C32</f>
        <v>216</v>
      </c>
      <c r="D26">
        <f>D32</f>
        <v>600</v>
      </c>
      <c r="E26" s="14">
        <v>1</v>
      </c>
      <c r="S26" s="37"/>
      <c r="T26" s="4"/>
      <c r="U26" s="38"/>
    </row>
    <row r="27" spans="1:21" x14ac:dyDescent="0.25">
      <c r="A27" s="23" t="s">
        <v>31</v>
      </c>
      <c r="B27">
        <f>0.95*B32</f>
        <v>209</v>
      </c>
      <c r="C27">
        <f>C26</f>
        <v>216</v>
      </c>
      <c r="D27">
        <f>D26</f>
        <v>600</v>
      </c>
      <c r="E27" s="14">
        <v>1</v>
      </c>
      <c r="S27" s="37" t="s">
        <v>13</v>
      </c>
      <c r="T27" s="4">
        <f t="shared" si="0"/>
        <v>503.99999999999994</v>
      </c>
      <c r="U27" s="38">
        <f t="shared" si="1"/>
        <v>44</v>
      </c>
    </row>
    <row r="28" spans="1:21" x14ac:dyDescent="0.25">
      <c r="A28" s="23" t="s">
        <v>32</v>
      </c>
      <c r="B28">
        <f>0.6*B32</f>
        <v>132</v>
      </c>
      <c r="C28">
        <f>0.5*C32</f>
        <v>360</v>
      </c>
      <c r="D28">
        <f>D32</f>
        <v>600</v>
      </c>
      <c r="E28" s="14">
        <v>1</v>
      </c>
      <c r="S28" s="37" t="s">
        <v>14</v>
      </c>
      <c r="T28" s="4">
        <f t="shared" si="0"/>
        <v>720</v>
      </c>
      <c r="U28" s="38">
        <f t="shared" si="1"/>
        <v>44</v>
      </c>
    </row>
    <row r="29" spans="1:21" x14ac:dyDescent="0.25">
      <c r="A29" s="23" t="s">
        <v>34</v>
      </c>
      <c r="B29">
        <f>0.2*B32</f>
        <v>44</v>
      </c>
      <c r="C29">
        <f>0.35*C32</f>
        <v>251.99999999999997</v>
      </c>
      <c r="D29">
        <f>4.5*D32</f>
        <v>2700</v>
      </c>
      <c r="E29" s="14">
        <v>1</v>
      </c>
      <c r="S29" s="37" t="s">
        <v>15</v>
      </c>
      <c r="T29" s="4">
        <f t="shared" si="0"/>
        <v>720</v>
      </c>
      <c r="U29" s="38">
        <f t="shared" si="1"/>
        <v>0</v>
      </c>
    </row>
    <row r="30" spans="1:21" x14ac:dyDescent="0.25">
      <c r="A30" s="23" t="s">
        <v>37</v>
      </c>
      <c r="B30">
        <f>B29</f>
        <v>44</v>
      </c>
      <c r="C30">
        <f>0.5*C32</f>
        <v>360</v>
      </c>
      <c r="D30">
        <f>2.5*D32</f>
        <v>1500</v>
      </c>
      <c r="E30" s="14">
        <v>1</v>
      </c>
      <c r="S30" s="37" t="s">
        <v>4</v>
      </c>
      <c r="T30" s="4">
        <f t="shared" si="0"/>
        <v>503.99999999999994</v>
      </c>
      <c r="U30" s="38">
        <f t="shared" si="1"/>
        <v>0</v>
      </c>
    </row>
    <row r="31" spans="1:21" x14ac:dyDescent="0.25">
      <c r="A31" s="23" t="s">
        <v>38</v>
      </c>
      <c r="B31">
        <f>B29</f>
        <v>44</v>
      </c>
      <c r="C31">
        <f>0.65*C32</f>
        <v>468</v>
      </c>
      <c r="D31">
        <f>3*D32</f>
        <v>1800</v>
      </c>
      <c r="E31" s="14">
        <v>1</v>
      </c>
      <c r="S31" s="37" t="s">
        <v>13</v>
      </c>
      <c r="T31" s="4">
        <f t="shared" si="0"/>
        <v>503.99999999999994</v>
      </c>
      <c r="U31" s="38">
        <f t="shared" si="1"/>
        <v>44</v>
      </c>
    </row>
    <row r="32" spans="1:21" x14ac:dyDescent="0.25">
      <c r="A32" s="23" t="s">
        <v>39</v>
      </c>
      <c r="B32" s="33">
        <f>A63*110</f>
        <v>220</v>
      </c>
      <c r="C32" s="33">
        <f>A61*90</f>
        <v>720</v>
      </c>
      <c r="D32" s="33">
        <f>A62*120</f>
        <v>600</v>
      </c>
      <c r="E32" s="14">
        <v>1</v>
      </c>
      <c r="S32" s="37"/>
      <c r="T32" s="4"/>
      <c r="U32" s="38"/>
    </row>
    <row r="33" spans="1:21" x14ac:dyDescent="0.25">
      <c r="A33" s="23" t="s">
        <v>6</v>
      </c>
      <c r="B33">
        <v>0</v>
      </c>
      <c r="C33">
        <v>0</v>
      </c>
      <c r="D33">
        <f>3*D32</f>
        <v>1800</v>
      </c>
      <c r="E33" s="29">
        <v>1</v>
      </c>
      <c r="S33" s="37" t="s">
        <v>12</v>
      </c>
      <c r="T33" s="4">
        <f t="shared" si="0"/>
        <v>503.99999999999994</v>
      </c>
      <c r="U33" s="38">
        <f t="shared" si="1"/>
        <v>44</v>
      </c>
    </row>
    <row r="34" spans="1:21" x14ac:dyDescent="0.25">
      <c r="A34" s="23" t="s">
        <v>7</v>
      </c>
      <c r="B34">
        <f>0.2*B32</f>
        <v>44</v>
      </c>
      <c r="C34">
        <v>0</v>
      </c>
      <c r="D34">
        <f>3*D32</f>
        <v>1800</v>
      </c>
      <c r="E34" s="29">
        <v>1</v>
      </c>
      <c r="S34" s="37" t="s">
        <v>29</v>
      </c>
      <c r="T34" s="4">
        <f t="shared" si="0"/>
        <v>503.99999999999994</v>
      </c>
      <c r="U34" s="38">
        <f t="shared" si="1"/>
        <v>0</v>
      </c>
    </row>
    <row r="35" spans="1:21" x14ac:dyDescent="0.25">
      <c r="A35" s="23" t="s">
        <v>8</v>
      </c>
      <c r="B35">
        <f>0.2*B32</f>
        <v>44</v>
      </c>
      <c r="C35">
        <f>0.3*C32</f>
        <v>216</v>
      </c>
      <c r="D35">
        <f>3*D32</f>
        <v>1800</v>
      </c>
      <c r="E35" s="29">
        <v>1</v>
      </c>
      <c r="S35" s="37" t="s">
        <v>9</v>
      </c>
      <c r="T35" s="4">
        <f t="shared" si="0"/>
        <v>216</v>
      </c>
      <c r="U35" s="38">
        <f t="shared" si="1"/>
        <v>0</v>
      </c>
    </row>
    <row r="36" spans="1:21" x14ac:dyDescent="0.25">
      <c r="A36" s="23" t="s">
        <v>5</v>
      </c>
      <c r="B36">
        <f>0.2*B32</f>
        <v>44</v>
      </c>
      <c r="C36">
        <f>0.3*C32</f>
        <v>216</v>
      </c>
      <c r="D36">
        <f>5*D32</f>
        <v>3000</v>
      </c>
      <c r="E36" s="29">
        <v>1</v>
      </c>
      <c r="S36" s="37" t="s">
        <v>5</v>
      </c>
      <c r="T36" s="4">
        <f t="shared" si="0"/>
        <v>216</v>
      </c>
      <c r="U36" s="38">
        <f t="shared" si="1"/>
        <v>44</v>
      </c>
    </row>
    <row r="37" spans="1:21" x14ac:dyDescent="0.25">
      <c r="A37" s="23" t="s">
        <v>9</v>
      </c>
      <c r="B37">
        <v>0</v>
      </c>
      <c r="C37">
        <f>0.3*C32</f>
        <v>216</v>
      </c>
      <c r="D37">
        <f>5*D32</f>
        <v>3000</v>
      </c>
      <c r="E37" s="29">
        <v>1</v>
      </c>
      <c r="S37" s="37" t="s">
        <v>12</v>
      </c>
      <c r="T37" s="4">
        <f t="shared" si="0"/>
        <v>503.99999999999994</v>
      </c>
      <c r="U37" s="38">
        <f t="shared" si="1"/>
        <v>44</v>
      </c>
    </row>
    <row r="38" spans="1:21" x14ac:dyDescent="0.25">
      <c r="A38" s="23" t="s">
        <v>10</v>
      </c>
      <c r="B38">
        <v>0</v>
      </c>
      <c r="C38">
        <f>0.3*C32</f>
        <v>216</v>
      </c>
      <c r="D38">
        <f>3*D32</f>
        <v>1800</v>
      </c>
      <c r="E38" s="40">
        <v>1</v>
      </c>
      <c r="S38" s="37"/>
      <c r="T38" s="4"/>
      <c r="U38" s="38"/>
    </row>
    <row r="39" spans="1:21" x14ac:dyDescent="0.25">
      <c r="A39" s="23" t="s">
        <v>4</v>
      </c>
      <c r="B39">
        <v>0</v>
      </c>
      <c r="C39">
        <f>0.7*C32</f>
        <v>503.99999999999994</v>
      </c>
      <c r="D39">
        <f>3*D32</f>
        <v>1800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5">
      <c r="A40" s="23" t="s">
        <v>11</v>
      </c>
      <c r="B40">
        <v>0</v>
      </c>
      <c r="C40">
        <f>0.7*C32</f>
        <v>503.99999999999994</v>
      </c>
      <c r="D40">
        <f>5*D32</f>
        <v>3000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5">
      <c r="A41" s="23" t="s">
        <v>12</v>
      </c>
      <c r="B41">
        <f>0.2*B32</f>
        <v>44</v>
      </c>
      <c r="C41">
        <f>0.7*C32</f>
        <v>503.99999999999994</v>
      </c>
      <c r="D41">
        <f>5*D32</f>
        <v>3000</v>
      </c>
      <c r="E41" s="14">
        <v>1</v>
      </c>
      <c r="S41" s="37" t="s">
        <v>21</v>
      </c>
      <c r="T41" s="4">
        <f t="shared" si="0"/>
        <v>720</v>
      </c>
      <c r="U41" s="38">
        <f t="shared" si="1"/>
        <v>0</v>
      </c>
    </row>
    <row r="42" spans="1:21" x14ac:dyDescent="0.25">
      <c r="A42" s="23" t="s">
        <v>13</v>
      </c>
      <c r="B42">
        <f>0.2*B32</f>
        <v>44</v>
      </c>
      <c r="C42">
        <f>0.7*C32</f>
        <v>503.99999999999994</v>
      </c>
      <c r="D42">
        <f>3*D32</f>
        <v>1800</v>
      </c>
      <c r="E42" s="14">
        <v>1</v>
      </c>
      <c r="S42" s="37" t="s">
        <v>15</v>
      </c>
      <c r="T42" s="4">
        <f t="shared" si="0"/>
        <v>720</v>
      </c>
      <c r="U42" s="38">
        <f t="shared" si="1"/>
        <v>0</v>
      </c>
    </row>
    <row r="43" spans="1:21" x14ac:dyDescent="0.25">
      <c r="A43" s="23" t="s">
        <v>14</v>
      </c>
      <c r="B43">
        <f>0.2*B32</f>
        <v>44</v>
      </c>
      <c r="C43">
        <f>C32</f>
        <v>720</v>
      </c>
      <c r="D43">
        <f>3*D32</f>
        <v>1800</v>
      </c>
      <c r="E43" s="14">
        <v>1</v>
      </c>
      <c r="S43" s="37" t="s">
        <v>4</v>
      </c>
      <c r="T43" s="4">
        <f t="shared" si="0"/>
        <v>503.99999999999994</v>
      </c>
      <c r="U43" s="38">
        <f t="shared" si="1"/>
        <v>0</v>
      </c>
    </row>
    <row r="44" spans="1:21" x14ac:dyDescent="0.25">
      <c r="A44" s="12" t="s">
        <v>15</v>
      </c>
      <c r="B44" s="6">
        <v>0</v>
      </c>
      <c r="C44">
        <f>C32</f>
        <v>720</v>
      </c>
      <c r="D44">
        <f>3*D32</f>
        <v>1800</v>
      </c>
      <c r="E44" s="14">
        <v>1</v>
      </c>
      <c r="S44" s="37" t="s">
        <v>29</v>
      </c>
      <c r="T44" s="4">
        <f t="shared" si="0"/>
        <v>503.99999999999994</v>
      </c>
      <c r="U44" s="38">
        <f t="shared" si="1"/>
        <v>0</v>
      </c>
    </row>
    <row r="45" spans="1:21" x14ac:dyDescent="0.25">
      <c r="A45" s="13" t="s">
        <v>21</v>
      </c>
      <c r="B45" s="6">
        <v>0</v>
      </c>
      <c r="C45">
        <f>C32</f>
        <v>720</v>
      </c>
      <c r="D45">
        <v>0</v>
      </c>
      <c r="E45" s="14">
        <v>1</v>
      </c>
      <c r="S45" s="37" t="s">
        <v>9</v>
      </c>
      <c r="T45" s="4">
        <f t="shared" si="0"/>
        <v>216</v>
      </c>
      <c r="U45" s="38">
        <f t="shared" si="1"/>
        <v>0</v>
      </c>
    </row>
    <row r="46" spans="1:21" x14ac:dyDescent="0.25">
      <c r="A46" s="13" t="s">
        <v>22</v>
      </c>
      <c r="B46" s="6">
        <f>0.7*B32</f>
        <v>154</v>
      </c>
      <c r="C46">
        <f>C32</f>
        <v>720</v>
      </c>
      <c r="D46">
        <v>0</v>
      </c>
      <c r="E46" s="14">
        <v>1</v>
      </c>
      <c r="S46" s="37" t="s">
        <v>10</v>
      </c>
      <c r="T46" s="4">
        <f t="shared" si="0"/>
        <v>216</v>
      </c>
      <c r="U46" s="38">
        <f t="shared" si="1"/>
        <v>0</v>
      </c>
    </row>
    <row r="47" spans="1:21" x14ac:dyDescent="0.25">
      <c r="A47" s="13" t="s">
        <v>23</v>
      </c>
      <c r="B47" s="6">
        <f>0.7*B32</f>
        <v>154</v>
      </c>
      <c r="C47">
        <f>C32</f>
        <v>720</v>
      </c>
      <c r="D47">
        <f>D32</f>
        <v>600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5">
      <c r="A48" s="13" t="s">
        <v>17</v>
      </c>
      <c r="B48" s="6">
        <f>0.2*B32</f>
        <v>44</v>
      </c>
      <c r="C48">
        <f>C32</f>
        <v>720</v>
      </c>
      <c r="D48">
        <f>D32</f>
        <v>600</v>
      </c>
      <c r="E48" s="14">
        <v>1</v>
      </c>
      <c r="S48" s="37"/>
      <c r="T48" s="4"/>
      <c r="U48" s="38"/>
    </row>
    <row r="49" spans="1:21" x14ac:dyDescent="0.25">
      <c r="A49" s="13" t="s">
        <v>16</v>
      </c>
      <c r="B49" s="6">
        <f>0.2*B32</f>
        <v>44</v>
      </c>
      <c r="C49">
        <v>0</v>
      </c>
      <c r="D49">
        <f>D32</f>
        <v>600</v>
      </c>
      <c r="E49" s="14">
        <v>1</v>
      </c>
      <c r="S49" s="37" t="s">
        <v>7</v>
      </c>
      <c r="T49" s="4">
        <f t="shared" si="0"/>
        <v>0</v>
      </c>
      <c r="U49" s="38">
        <f t="shared" si="1"/>
        <v>44</v>
      </c>
    </row>
    <row r="50" spans="1:21" x14ac:dyDescent="0.25">
      <c r="A50" s="13" t="s">
        <v>24</v>
      </c>
      <c r="B50" s="6">
        <f>B32</f>
        <v>220</v>
      </c>
      <c r="C50">
        <v>0</v>
      </c>
      <c r="D50">
        <f>D32</f>
        <v>600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44</v>
      </c>
    </row>
    <row r="51" spans="1:21" x14ac:dyDescent="0.25">
      <c r="A51" s="13" t="s">
        <v>25</v>
      </c>
      <c r="B51" s="6">
        <f>B32</f>
        <v>220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720</v>
      </c>
      <c r="U51" s="38">
        <f t="shared" si="1"/>
        <v>44</v>
      </c>
    </row>
    <row r="52" spans="1:21" x14ac:dyDescent="0.25">
      <c r="A52" s="13" t="s">
        <v>26</v>
      </c>
      <c r="B52" s="6">
        <f>B32</f>
        <v>220</v>
      </c>
      <c r="C52">
        <f>0.4*C32</f>
        <v>288</v>
      </c>
      <c r="D52">
        <v>0</v>
      </c>
      <c r="E52" s="14">
        <v>1</v>
      </c>
      <c r="S52" s="37" t="s">
        <v>14</v>
      </c>
      <c r="T52" s="4">
        <f t="shared" si="0"/>
        <v>720</v>
      </c>
      <c r="U52" s="38">
        <f t="shared" si="1"/>
        <v>44</v>
      </c>
    </row>
    <row r="53" spans="1:21" x14ac:dyDescent="0.25">
      <c r="A53" s="13" t="s">
        <v>27</v>
      </c>
      <c r="B53" s="6">
        <f>B32</f>
        <v>220</v>
      </c>
      <c r="C53">
        <f>0.4*C32</f>
        <v>288</v>
      </c>
      <c r="D53">
        <f>D32</f>
        <v>600</v>
      </c>
      <c r="E53" s="14">
        <v>1</v>
      </c>
      <c r="S53" s="37" t="s">
        <v>13</v>
      </c>
      <c r="T53" s="4">
        <f t="shared" si="0"/>
        <v>503.99999999999994</v>
      </c>
      <c r="U53" s="38">
        <f t="shared" si="1"/>
        <v>44</v>
      </c>
    </row>
    <row r="54" spans="1:21" x14ac:dyDescent="0.25">
      <c r="A54" s="13" t="s">
        <v>28</v>
      </c>
      <c r="B54" s="6">
        <f>0.7*B32</f>
        <v>154</v>
      </c>
      <c r="C54">
        <f>0.4*C32</f>
        <v>288</v>
      </c>
      <c r="D54">
        <f>D32</f>
        <v>600</v>
      </c>
      <c r="E54" s="14">
        <v>1</v>
      </c>
      <c r="S54" s="37" t="s">
        <v>12</v>
      </c>
      <c r="T54" s="4">
        <f t="shared" si="0"/>
        <v>503.99999999999994</v>
      </c>
      <c r="U54" s="38">
        <f t="shared" si="1"/>
        <v>44</v>
      </c>
    </row>
    <row r="55" spans="1:21" x14ac:dyDescent="0.25">
      <c r="A55" s="14" t="s">
        <v>0</v>
      </c>
      <c r="B55">
        <f>0.7*B32</f>
        <v>154</v>
      </c>
      <c r="C55">
        <f>0.4*C32</f>
        <v>288</v>
      </c>
      <c r="D55">
        <v>0</v>
      </c>
      <c r="E55" s="14">
        <v>1</v>
      </c>
      <c r="S55" s="37" t="s">
        <v>5</v>
      </c>
      <c r="T55" s="4">
        <f t="shared" si="0"/>
        <v>216</v>
      </c>
      <c r="U55" s="38">
        <f t="shared" si="1"/>
        <v>44</v>
      </c>
    </row>
    <row r="56" spans="1:21" x14ac:dyDescent="0.25">
      <c r="A56" s="14" t="s">
        <v>1</v>
      </c>
      <c r="B56">
        <f>0.25*B32</f>
        <v>55</v>
      </c>
      <c r="C56">
        <f>0.15*C32</f>
        <v>108</v>
      </c>
      <c r="D56">
        <f>D32</f>
        <v>600</v>
      </c>
      <c r="E56" s="14">
        <v>1</v>
      </c>
      <c r="S56" s="37" t="s">
        <v>8</v>
      </c>
      <c r="T56" s="4">
        <f t="shared" si="0"/>
        <v>216</v>
      </c>
      <c r="U56" s="38">
        <f t="shared" si="1"/>
        <v>44</v>
      </c>
    </row>
    <row r="57" spans="1:21" ht="13.8" thickBot="1" x14ac:dyDescent="0.3">
      <c r="A57" s="16" t="s">
        <v>2</v>
      </c>
      <c r="B57" s="28">
        <f>0.6*B32</f>
        <v>132</v>
      </c>
      <c r="C57" s="8">
        <f>0.15*C32</f>
        <v>108</v>
      </c>
      <c r="D57" s="8">
        <f>D32</f>
        <v>600</v>
      </c>
      <c r="E57" s="16">
        <v>1</v>
      </c>
      <c r="S57" s="37" t="s">
        <v>7</v>
      </c>
      <c r="T57" s="4">
        <f t="shared" si="0"/>
        <v>0</v>
      </c>
      <c r="U57" s="38">
        <f t="shared" si="1"/>
        <v>44</v>
      </c>
    </row>
    <row r="58" spans="1:21" x14ac:dyDescent="0.25">
      <c r="A58" s="5"/>
      <c r="S58" s="37"/>
      <c r="T58" s="4"/>
      <c r="U58" s="38"/>
    </row>
    <row r="59" spans="1:21" x14ac:dyDescent="0.25">
      <c r="A59" s="41"/>
      <c r="S59" s="37" t="s">
        <v>28</v>
      </c>
      <c r="T59" s="4">
        <f t="shared" si="0"/>
        <v>288</v>
      </c>
      <c r="U59" s="38">
        <f t="shared" si="1"/>
        <v>154</v>
      </c>
    </row>
    <row r="60" spans="1:21" x14ac:dyDescent="0.25">
      <c r="A60" s="42" t="s">
        <v>46</v>
      </c>
      <c r="C60" s="53"/>
      <c r="S60" s="37" t="s">
        <v>0</v>
      </c>
      <c r="T60" s="4">
        <f t="shared" si="0"/>
        <v>288</v>
      </c>
      <c r="U60" s="38">
        <f t="shared" si="1"/>
        <v>154</v>
      </c>
    </row>
    <row r="61" spans="1:21" x14ac:dyDescent="0.25">
      <c r="A61" s="49">
        <v>8</v>
      </c>
      <c r="S61" s="37" t="s">
        <v>22</v>
      </c>
      <c r="T61" s="4">
        <f t="shared" si="0"/>
        <v>720</v>
      </c>
      <c r="U61" s="38">
        <f t="shared" si="1"/>
        <v>154</v>
      </c>
    </row>
    <row r="62" spans="1:21" x14ac:dyDescent="0.25">
      <c r="A62" s="50">
        <v>5</v>
      </c>
      <c r="S62" s="37" t="s">
        <v>23</v>
      </c>
      <c r="T62" s="4">
        <f t="shared" si="0"/>
        <v>720</v>
      </c>
      <c r="U62" s="38">
        <f t="shared" si="1"/>
        <v>154</v>
      </c>
    </row>
    <row r="63" spans="1:21" x14ac:dyDescent="0.25">
      <c r="A63" s="50">
        <v>2</v>
      </c>
      <c r="S63" s="37" t="s">
        <v>28</v>
      </c>
      <c r="T63" s="4">
        <f t="shared" si="0"/>
        <v>288</v>
      </c>
      <c r="U63" s="38">
        <f t="shared" si="1"/>
        <v>154</v>
      </c>
    </row>
    <row r="64" spans="1:21" x14ac:dyDescent="0.25">
      <c r="A64" s="50"/>
      <c r="S64" s="37"/>
      <c r="T64" s="4"/>
      <c r="U64" s="38"/>
    </row>
    <row r="65" spans="1:21" x14ac:dyDescent="0.25">
      <c r="A65" s="53" t="s">
        <v>47</v>
      </c>
      <c r="G65" s="13"/>
      <c r="S65" s="37" t="s">
        <v>24</v>
      </c>
      <c r="T65" s="4">
        <f t="shared" si="0"/>
        <v>0</v>
      </c>
      <c r="U65" s="38">
        <f t="shared" si="1"/>
        <v>220</v>
      </c>
    </row>
    <row r="66" spans="1:21" x14ac:dyDescent="0.25">
      <c r="B66" s="53" t="s">
        <v>0</v>
      </c>
      <c r="C66" s="53" t="s">
        <v>1</v>
      </c>
      <c r="D66" s="53" t="s">
        <v>2</v>
      </c>
      <c r="S66" s="37" t="s">
        <v>25</v>
      </c>
      <c r="T66" s="4">
        <f t="shared" si="0"/>
        <v>0</v>
      </c>
      <c r="U66" s="38">
        <f t="shared" ref="U66:U80" si="2">VLOOKUP(S66, $A$25:$E$57,  2)</f>
        <v>220</v>
      </c>
    </row>
    <row r="67" spans="1:21" ht="13.8" thickBot="1" x14ac:dyDescent="0.3">
      <c r="A67" s="53" t="s">
        <v>48</v>
      </c>
      <c r="B67" s="15">
        <f>D12</f>
        <v>1167.052980675182</v>
      </c>
      <c r="C67">
        <f>E12</f>
        <v>1817.5773271850564</v>
      </c>
      <c r="D67">
        <f>F12</f>
        <v>4800</v>
      </c>
      <c r="S67" s="37" t="s">
        <v>26</v>
      </c>
      <c r="T67" s="4">
        <f t="shared" si="0"/>
        <v>288</v>
      </c>
      <c r="U67" s="38">
        <f t="shared" si="2"/>
        <v>220</v>
      </c>
    </row>
    <row r="68" spans="1:21" x14ac:dyDescent="0.25">
      <c r="A68" s="53" t="s">
        <v>37</v>
      </c>
      <c r="B68">
        <f>B30</f>
        <v>44</v>
      </c>
      <c r="C68" s="53">
        <f>C30</f>
        <v>360</v>
      </c>
      <c r="D68">
        <f>D30</f>
        <v>1500</v>
      </c>
      <c r="S68" s="37" t="s">
        <v>27</v>
      </c>
      <c r="T68" s="4">
        <f t="shared" si="0"/>
        <v>288</v>
      </c>
      <c r="U68" s="38">
        <f t="shared" si="2"/>
        <v>220</v>
      </c>
    </row>
    <row r="69" spans="1:21" x14ac:dyDescent="0.25">
      <c r="A69" s="53" t="s">
        <v>49</v>
      </c>
      <c r="B69">
        <f>B68-B67</f>
        <v>-1123.052980675182</v>
      </c>
      <c r="C69">
        <f>C68-C67</f>
        <v>-1457.5773271850564</v>
      </c>
      <c r="D69">
        <f>D68-D67</f>
        <v>-3300</v>
      </c>
      <c r="S69" s="37" t="s">
        <v>24</v>
      </c>
      <c r="T69" s="4">
        <f t="shared" ref="T69:T80" si="3">VLOOKUP(S69, $A$25:$E$57, 3)</f>
        <v>0</v>
      </c>
      <c r="U69" s="38">
        <f t="shared" si="2"/>
        <v>220</v>
      </c>
    </row>
    <row r="70" spans="1:21" x14ac:dyDescent="0.25">
      <c r="A70" s="53" t="s">
        <v>50</v>
      </c>
      <c r="B70">
        <f>B69/(SQRT(B69^2+C69^2+D69^2))</f>
        <v>-0.29723525979107773</v>
      </c>
      <c r="C70">
        <f>C69/(SQRT(B69^2+C69^2+D69^2))</f>
        <v>-0.38577287355665812</v>
      </c>
      <c r="D70">
        <f>D69/(SQRT(B69^2+C69^2+D69^2))</f>
        <v>-0.87340167756008402</v>
      </c>
      <c r="S70" s="37"/>
      <c r="T70" s="4"/>
      <c r="U70" s="38"/>
    </row>
    <row r="71" spans="1:21" x14ac:dyDescent="0.25">
      <c r="S71" s="37" t="s">
        <v>1</v>
      </c>
      <c r="T71" s="4">
        <f t="shared" si="3"/>
        <v>108</v>
      </c>
      <c r="U71" s="38">
        <f t="shared" si="2"/>
        <v>55</v>
      </c>
    </row>
    <row r="72" spans="1:21" x14ac:dyDescent="0.25">
      <c r="A72" s="53" t="s">
        <v>51</v>
      </c>
      <c r="S72" s="37" t="s">
        <v>2</v>
      </c>
      <c r="T72" s="4">
        <f t="shared" si="3"/>
        <v>108</v>
      </c>
      <c r="U72" s="38">
        <f t="shared" si="2"/>
        <v>132</v>
      </c>
    </row>
    <row r="73" spans="1:21" x14ac:dyDescent="0.25">
      <c r="A73" s="53" t="s">
        <v>52</v>
      </c>
      <c r="B73">
        <v>0</v>
      </c>
      <c r="C73">
        <v>0</v>
      </c>
      <c r="D73">
        <v>1</v>
      </c>
      <c r="S73" s="37" t="s">
        <v>32</v>
      </c>
      <c r="T73" s="4">
        <f t="shared" si="3"/>
        <v>360</v>
      </c>
      <c r="U73" s="38">
        <f t="shared" si="2"/>
        <v>132</v>
      </c>
    </row>
    <row r="74" spans="1:21" x14ac:dyDescent="0.25">
      <c r="A74" s="53" t="s">
        <v>53</v>
      </c>
      <c r="B74">
        <f>B73-(D70*B70)</f>
        <v>-0.25960577453153466</v>
      </c>
      <c r="C74">
        <f>C73-(D70*C70)</f>
        <v>-0.33693467492155937</v>
      </c>
      <c r="D74">
        <f>D73-(D70*D70)</f>
        <v>0.23716950963523098</v>
      </c>
      <c r="S74" s="37"/>
      <c r="T74" s="4"/>
      <c r="U74" s="38"/>
    </row>
    <row r="75" spans="1:21" x14ac:dyDescent="0.25">
      <c r="A75" s="53" t="s">
        <v>56</v>
      </c>
      <c r="B75">
        <f>B74/(SQRT(B74^2+C74^2+D74^2))</f>
        <v>-0.53307083287061918</v>
      </c>
      <c r="C75">
        <f>C74/(SQRT(B74^2+C74^2+D74^2))</f>
        <v>-0.69185690536945088</v>
      </c>
      <c r="D75">
        <f>D74/(SQRT(B74^2+C74^2+D74^2))</f>
        <v>0.48700052323917598</v>
      </c>
      <c r="S75" s="43" t="s">
        <v>30</v>
      </c>
      <c r="T75" s="4">
        <f t="shared" si="3"/>
        <v>216</v>
      </c>
      <c r="U75" s="38">
        <f t="shared" si="2"/>
        <v>77</v>
      </c>
    </row>
    <row r="76" spans="1:21" x14ac:dyDescent="0.25">
      <c r="S76" s="43" t="s">
        <v>31</v>
      </c>
      <c r="T76" s="4">
        <f t="shared" si="3"/>
        <v>216</v>
      </c>
      <c r="U76" s="38">
        <f t="shared" si="2"/>
        <v>209</v>
      </c>
    </row>
    <row r="77" spans="1:21" x14ac:dyDescent="0.25">
      <c r="A77" t="s">
        <v>54</v>
      </c>
      <c r="S77" s="43"/>
      <c r="T77" s="4"/>
      <c r="U77" s="38"/>
    </row>
    <row r="78" spans="1:21" x14ac:dyDescent="0.25">
      <c r="A78" t="s">
        <v>55</v>
      </c>
      <c r="B78">
        <f>(D75*C70)-(C75*D70)</f>
        <v>-0.7921405730547797</v>
      </c>
      <c r="C78">
        <f>(B75*D70)-(D75*B70)</f>
        <v>0.61033868673093727</v>
      </c>
      <c r="D78">
        <f>(C75*B70)-(B75*C70)</f>
        <v>0</v>
      </c>
      <c r="S78" s="43" t="s">
        <v>34</v>
      </c>
      <c r="T78" s="4">
        <f t="shared" si="3"/>
        <v>251.99999999999997</v>
      </c>
      <c r="U78" s="38">
        <f t="shared" si="2"/>
        <v>44</v>
      </c>
    </row>
    <row r="79" spans="1:21" x14ac:dyDescent="0.25">
      <c r="S79" s="43" t="s">
        <v>37</v>
      </c>
      <c r="T79" s="4">
        <f t="shared" si="3"/>
        <v>360</v>
      </c>
      <c r="U79" s="38">
        <f t="shared" si="2"/>
        <v>44</v>
      </c>
    </row>
    <row r="80" spans="1:21" ht="13.8" thickBot="1" x14ac:dyDescent="0.3">
      <c r="A80" t="s">
        <v>58</v>
      </c>
      <c r="S80" s="44" t="s">
        <v>38</v>
      </c>
      <c r="T80" s="45">
        <f t="shared" si="3"/>
        <v>468</v>
      </c>
      <c r="U80" s="46">
        <f t="shared" si="2"/>
        <v>44</v>
      </c>
    </row>
    <row r="81" spans="1:5" ht="13.8" thickTop="1" x14ac:dyDescent="0.25">
      <c r="A81" t="s">
        <v>55</v>
      </c>
      <c r="B81">
        <f>B78</f>
        <v>-0.7921405730547797</v>
      </c>
      <c r="C81">
        <f t="shared" ref="C81:D81" si="4">C78</f>
        <v>0.61033868673093727</v>
      </c>
      <c r="D81">
        <f t="shared" si="4"/>
        <v>0</v>
      </c>
    </row>
    <row r="82" spans="1:5" x14ac:dyDescent="0.25">
      <c r="A82" t="s">
        <v>59</v>
      </c>
      <c r="B82">
        <f>B75</f>
        <v>-0.53307083287061918</v>
      </c>
      <c r="C82">
        <f t="shared" ref="C82:D82" si="5">C75</f>
        <v>-0.69185690536945088</v>
      </c>
      <c r="D82">
        <f t="shared" si="5"/>
        <v>0.48700052323917598</v>
      </c>
    </row>
    <row r="83" spans="1:5" x14ac:dyDescent="0.25">
      <c r="A83" t="s">
        <v>57</v>
      </c>
      <c r="B83">
        <f>B70</f>
        <v>-0.29723525979107773</v>
      </c>
      <c r="C83">
        <f t="shared" ref="C83:D83" si="6">C70</f>
        <v>-0.38577287355665812</v>
      </c>
      <c r="D83">
        <f t="shared" si="6"/>
        <v>-0.87340167756008402</v>
      </c>
    </row>
    <row r="84" spans="1:5" ht="13.8" thickBot="1" x14ac:dyDescent="0.3"/>
    <row r="85" spans="1:5" x14ac:dyDescent="0.25">
      <c r="A85" t="s">
        <v>63</v>
      </c>
      <c r="B85" s="24">
        <v>1</v>
      </c>
      <c r="C85" s="10">
        <v>0</v>
      </c>
      <c r="D85" s="10">
        <v>0</v>
      </c>
      <c r="E85" s="11">
        <v>0</v>
      </c>
    </row>
    <row r="86" spans="1:5" x14ac:dyDescent="0.25">
      <c r="B86" s="6">
        <v>0</v>
      </c>
      <c r="C86" s="4">
        <v>1</v>
      </c>
      <c r="D86" s="4">
        <v>0</v>
      </c>
      <c r="E86" s="7">
        <v>0</v>
      </c>
    </row>
    <row r="87" spans="1:5" x14ac:dyDescent="0.25">
      <c r="B87" s="6">
        <v>0</v>
      </c>
      <c r="C87" s="4">
        <v>0</v>
      </c>
      <c r="D87" s="4">
        <v>1</v>
      </c>
      <c r="E87" s="7">
        <v>0</v>
      </c>
    </row>
    <row r="88" spans="1:5" ht="13.8" thickBot="1" x14ac:dyDescent="0.3">
      <c r="B88" s="28">
        <f>-D12</f>
        <v>-1167.052980675182</v>
      </c>
      <c r="C88" s="8">
        <f>-E12</f>
        <v>-1817.5773271850564</v>
      </c>
      <c r="D88" s="8">
        <f>-F12</f>
        <v>-4800</v>
      </c>
      <c r="E88" s="9">
        <v>1</v>
      </c>
    </row>
    <row r="89" spans="1:5" ht="13.8" thickBot="1" x14ac:dyDescent="0.3"/>
    <row r="90" spans="1:5" x14ac:dyDescent="0.25">
      <c r="A90" t="s">
        <v>62</v>
      </c>
      <c r="B90" s="24">
        <f>B81</f>
        <v>-0.7921405730547797</v>
      </c>
      <c r="C90" s="10">
        <f>B82</f>
        <v>-0.53307083287061918</v>
      </c>
      <c r="D90" s="10">
        <f>B83</f>
        <v>-0.29723525979107773</v>
      </c>
      <c r="E90" s="11">
        <v>0</v>
      </c>
    </row>
    <row r="91" spans="1:5" x14ac:dyDescent="0.25">
      <c r="B91" s="6">
        <f>C81</f>
        <v>0.61033868673093727</v>
      </c>
      <c r="C91" s="4">
        <f>C82</f>
        <v>-0.69185690536945088</v>
      </c>
      <c r="D91" s="4">
        <f>C83</f>
        <v>-0.38577287355665812</v>
      </c>
      <c r="E91" s="7">
        <v>0</v>
      </c>
    </row>
    <row r="92" spans="1:5" x14ac:dyDescent="0.25">
      <c r="B92" s="6">
        <f>D81</f>
        <v>0</v>
      </c>
      <c r="C92" s="4">
        <f>D82</f>
        <v>0.48700052323917598</v>
      </c>
      <c r="D92" s="4">
        <f>D83</f>
        <v>-0.87340167756008402</v>
      </c>
      <c r="E92" s="7">
        <v>0</v>
      </c>
    </row>
    <row r="93" spans="1:5" ht="13.8" thickBot="1" x14ac:dyDescent="0.3">
      <c r="B93" s="28">
        <v>0</v>
      </c>
      <c r="C93" s="8">
        <v>0</v>
      </c>
      <c r="D93" s="8">
        <v>0</v>
      </c>
      <c r="E93" s="9">
        <v>1</v>
      </c>
    </row>
    <row r="94" spans="1:5" ht="13.8" thickBot="1" x14ac:dyDescent="0.3"/>
    <row r="95" spans="1:5" x14ac:dyDescent="0.25">
      <c r="A95" t="s">
        <v>61</v>
      </c>
      <c r="B95" s="24">
        <f>MMULT($B85:$E85,B$90:B$93)</f>
        <v>-0.7921405730547797</v>
      </c>
      <c r="C95" s="10">
        <f>MMULT($B85:$E85,C$90:C$93)</f>
        <v>-0.53307083287061918</v>
      </c>
      <c r="D95" s="10">
        <f t="shared" ref="D95:E95" si="7">MMULT($B85:$E85,D$90:D$93)</f>
        <v>-0.29723525979107773</v>
      </c>
      <c r="E95" s="11">
        <f t="shared" si="7"/>
        <v>0</v>
      </c>
    </row>
    <row r="96" spans="1:5" x14ac:dyDescent="0.25">
      <c r="B96" s="6">
        <f>MMULT($B86:$E86,B$90:B$93)</f>
        <v>0.61033868673093727</v>
      </c>
      <c r="C96" s="4">
        <f t="shared" ref="C96:E96" si="8">MMULT($B86:$E86,C$90:C$93)</f>
        <v>-0.69185690536945088</v>
      </c>
      <c r="D96" s="4">
        <f t="shared" si="8"/>
        <v>-0.38577287355665812</v>
      </c>
      <c r="E96" s="7">
        <f t="shared" si="8"/>
        <v>0</v>
      </c>
    </row>
    <row r="97" spans="1:16" x14ac:dyDescent="0.25">
      <c r="B97" s="6">
        <f t="shared" ref="B97:E97" si="9">MMULT($B87:$E87,B$90:B$93)</f>
        <v>0</v>
      </c>
      <c r="C97" s="4">
        <f t="shared" si="9"/>
        <v>0.48700052323917598</v>
      </c>
      <c r="D97" s="4">
        <f t="shared" si="9"/>
        <v>-0.87340167756008402</v>
      </c>
      <c r="E97" s="7">
        <f t="shared" si="9"/>
        <v>0</v>
      </c>
    </row>
    <row r="98" spans="1:16" ht="13.8" thickBot="1" x14ac:dyDescent="0.3">
      <c r="B98" s="28">
        <f t="shared" ref="B98:E98" si="10">MMULT($B88:$E88,B$90:B$93)</f>
        <v>-184.86774200872708</v>
      </c>
      <c r="C98" s="8">
        <f t="shared" si="10"/>
        <v>-457.97718227945575</v>
      </c>
      <c r="D98" s="8">
        <f t="shared" si="10"/>
        <v>5240.3893766089523</v>
      </c>
      <c r="E98" s="9">
        <f t="shared" si="10"/>
        <v>1</v>
      </c>
    </row>
    <row r="99" spans="1:16" ht="13.8" thickBot="1" x14ac:dyDescent="0.3"/>
    <row r="100" spans="1:16" x14ac:dyDescent="0.25">
      <c r="A100" t="s">
        <v>60</v>
      </c>
      <c r="B100" s="24">
        <f>B81</f>
        <v>-0.7921405730547797</v>
      </c>
      <c r="C100" s="10">
        <f t="shared" ref="C100:D100" si="11">C81</f>
        <v>0.61033868673093727</v>
      </c>
      <c r="D100" s="10">
        <f t="shared" si="11"/>
        <v>0</v>
      </c>
      <c r="E100" s="11">
        <v>0</v>
      </c>
    </row>
    <row r="101" spans="1:16" x14ac:dyDescent="0.25">
      <c r="B101" s="6">
        <f t="shared" ref="B101:D101" si="12">B82</f>
        <v>-0.53307083287061918</v>
      </c>
      <c r="C101" s="4">
        <f t="shared" si="12"/>
        <v>-0.69185690536945088</v>
      </c>
      <c r="D101" s="4">
        <f t="shared" si="12"/>
        <v>0.48700052323917598</v>
      </c>
      <c r="E101" s="7">
        <v>0</v>
      </c>
    </row>
    <row r="102" spans="1:16" x14ac:dyDescent="0.25">
      <c r="B102" s="6">
        <f t="shared" ref="B102:D102" si="13">B83</f>
        <v>-0.29723525979107773</v>
      </c>
      <c r="C102" s="4">
        <f t="shared" si="13"/>
        <v>-0.38577287355665812</v>
      </c>
      <c r="D102" s="4">
        <f t="shared" si="13"/>
        <v>-0.87340167756008402</v>
      </c>
      <c r="E102" s="7">
        <v>0</v>
      </c>
    </row>
    <row r="103" spans="1:16" ht="13.8" thickBot="1" x14ac:dyDescent="0.3">
      <c r="B103" s="28">
        <v>0</v>
      </c>
      <c r="C103" s="8">
        <v>0</v>
      </c>
      <c r="D103" s="8">
        <v>0</v>
      </c>
      <c r="E103" s="9">
        <v>1</v>
      </c>
    </row>
    <row r="104" spans="1:16" ht="13.8" thickBot="1" x14ac:dyDescent="0.3"/>
    <row r="105" spans="1:16" x14ac:dyDescent="0.25">
      <c r="A105" t="s">
        <v>64</v>
      </c>
      <c r="B105" s="24">
        <f>MMULT($B100:$E100,B$90:B$93)</f>
        <v>0.99999999999999989</v>
      </c>
      <c r="C105" s="10">
        <f t="shared" ref="C105:E105" si="14">MMULT($B100:$E100,C$90:C$93)</f>
        <v>0</v>
      </c>
      <c r="D105" s="10">
        <f t="shared" si="14"/>
        <v>0</v>
      </c>
      <c r="E105" s="11">
        <f t="shared" si="14"/>
        <v>0</v>
      </c>
    </row>
    <row r="106" spans="1:16" x14ac:dyDescent="0.25">
      <c r="B106" s="6">
        <f t="shared" ref="B106:E106" si="15">MMULT($B101:$E101,B$90:B$93)</f>
        <v>0</v>
      </c>
      <c r="C106" s="4">
        <f t="shared" si="15"/>
        <v>1</v>
      </c>
      <c r="D106" s="4">
        <f t="shared" si="15"/>
        <v>-3.3306690738754696E-16</v>
      </c>
      <c r="E106" s="7">
        <f t="shared" si="15"/>
        <v>0</v>
      </c>
    </row>
    <row r="107" spans="1:16" x14ac:dyDescent="0.25">
      <c r="B107" s="6">
        <f t="shared" ref="B107:E107" si="16">MMULT($B102:$E102,B$90:B$93)</f>
        <v>0</v>
      </c>
      <c r="C107" s="4">
        <f t="shared" si="16"/>
        <v>-3.3306690738754696E-16</v>
      </c>
      <c r="D107" s="4">
        <f t="shared" si="16"/>
        <v>0.99999999999999978</v>
      </c>
      <c r="E107" s="7">
        <f t="shared" si="16"/>
        <v>0</v>
      </c>
    </row>
    <row r="108" spans="1:16" ht="13.8" thickBot="1" x14ac:dyDescent="0.3">
      <c r="B108" s="28">
        <f t="shared" ref="B108:E108" si="17">MMULT($B103:$E103,B$90:B$93)</f>
        <v>0</v>
      </c>
      <c r="C108" s="8">
        <f t="shared" si="17"/>
        <v>0</v>
      </c>
      <c r="D108" s="8">
        <f t="shared" si="17"/>
        <v>0</v>
      </c>
      <c r="E108" s="9">
        <f t="shared" si="17"/>
        <v>1</v>
      </c>
    </row>
    <row r="110" spans="1:16" x14ac:dyDescent="0.25">
      <c r="A110" t="s">
        <v>65</v>
      </c>
    </row>
    <row r="112" spans="1:16" ht="13.8" thickBot="1" x14ac:dyDescent="0.3">
      <c r="B112" s="5" t="s">
        <v>0</v>
      </c>
      <c r="C112" s="5" t="s">
        <v>1</v>
      </c>
      <c r="D112" s="5" t="s">
        <v>2</v>
      </c>
      <c r="E112" s="5" t="s">
        <v>4</v>
      </c>
      <c r="M112" t="s">
        <v>26</v>
      </c>
      <c r="N112" t="s">
        <v>27</v>
      </c>
      <c r="O112" t="s">
        <v>21</v>
      </c>
      <c r="P112" t="s">
        <v>4</v>
      </c>
    </row>
    <row r="113" spans="1:16" x14ac:dyDescent="0.25">
      <c r="A113" s="22" t="s">
        <v>3</v>
      </c>
      <c r="B113" s="30">
        <v>0</v>
      </c>
      <c r="C113" s="31">
        <v>0</v>
      </c>
      <c r="D113" s="31">
        <v>0</v>
      </c>
      <c r="E113" s="60">
        <v>1</v>
      </c>
      <c r="F113" s="56" t="s">
        <v>70</v>
      </c>
      <c r="G113" s="24">
        <f>B95</f>
        <v>-0.7921405730547797</v>
      </c>
      <c r="H113" s="10">
        <f t="shared" ref="H113:J113" si="18">C95</f>
        <v>-0.53307083287061918</v>
      </c>
      <c r="I113" s="10">
        <f t="shared" si="18"/>
        <v>-0.29723525979107773</v>
      </c>
      <c r="J113" s="11">
        <f t="shared" si="18"/>
        <v>0</v>
      </c>
      <c r="K113" s="56" t="s">
        <v>66</v>
      </c>
      <c r="L113" s="54" t="s">
        <v>3</v>
      </c>
      <c r="M113" s="10">
        <f t="shared" ref="M113:M145" si="19">MMULT($B113:$E113,G$113:G$116)</f>
        <v>-184.86774200872708</v>
      </c>
      <c r="N113" s="10">
        <f t="shared" ref="N113:N145" si="20">MMULT($B113:$E113,H$113:H$116)</f>
        <v>-457.97718227945575</v>
      </c>
      <c r="O113" s="10">
        <f t="shared" ref="O113:O145" si="21">MMULT($B113:$E113,I$113:I$116)</f>
        <v>5240.3893766089523</v>
      </c>
      <c r="P113" s="11">
        <f t="shared" ref="P113:P145" si="22">MMULT($B113:$E113,J$113:J$116)</f>
        <v>1</v>
      </c>
    </row>
    <row r="114" spans="1:16" x14ac:dyDescent="0.25">
      <c r="A114" s="23" t="s">
        <v>30</v>
      </c>
      <c r="B114">
        <f>0.35*B120</f>
        <v>77</v>
      </c>
      <c r="C114">
        <f>0.3*C120</f>
        <v>216</v>
      </c>
      <c r="D114">
        <f>D120</f>
        <v>600</v>
      </c>
      <c r="E114" s="14">
        <v>1</v>
      </c>
      <c r="G114" s="6">
        <f t="shared" ref="G114:G116" si="23">B96</f>
        <v>0.61033868673093727</v>
      </c>
      <c r="H114" s="4">
        <f t="shared" ref="H114:H116" si="24">C96</f>
        <v>-0.69185690536945088</v>
      </c>
      <c r="I114" s="4">
        <f t="shared" ref="I114:I116" si="25">D96</f>
        <v>-0.38577287355665812</v>
      </c>
      <c r="J114" s="7">
        <f t="shared" ref="J114:J116" si="26">E96</f>
        <v>0</v>
      </c>
      <c r="L114" s="12" t="s">
        <v>30</v>
      </c>
      <c r="M114" s="4">
        <f t="shared" si="19"/>
        <v>-114.02940980006267</v>
      </c>
      <c r="N114" s="4">
        <f t="shared" si="20"/>
        <v>-356.26441402678921</v>
      </c>
      <c r="O114" s="4">
        <f t="shared" si="21"/>
        <v>4610.1343143807508</v>
      </c>
      <c r="P114" s="7">
        <f t="shared" si="22"/>
        <v>1</v>
      </c>
    </row>
    <row r="115" spans="1:16" x14ac:dyDescent="0.25">
      <c r="A115" s="23" t="s">
        <v>31</v>
      </c>
      <c r="B115">
        <f>0.95*B120</f>
        <v>209</v>
      </c>
      <c r="C115">
        <f>C114</f>
        <v>216</v>
      </c>
      <c r="D115">
        <f>D114</f>
        <v>600</v>
      </c>
      <c r="E115" s="14">
        <v>1</v>
      </c>
      <c r="G115" s="6">
        <f t="shared" si="23"/>
        <v>0</v>
      </c>
      <c r="H115" s="4">
        <f t="shared" si="24"/>
        <v>0.48700052323917598</v>
      </c>
      <c r="I115" s="4">
        <f t="shared" si="25"/>
        <v>-0.87340167756008402</v>
      </c>
      <c r="J115" s="7">
        <f t="shared" si="26"/>
        <v>0</v>
      </c>
      <c r="L115" s="12" t="s">
        <v>31</v>
      </c>
      <c r="M115" s="4">
        <f t="shared" si="19"/>
        <v>-218.59196544329359</v>
      </c>
      <c r="N115" s="4">
        <f t="shared" si="20"/>
        <v>-426.62976396571094</v>
      </c>
      <c r="O115" s="4">
        <f t="shared" si="21"/>
        <v>4570.8992600883284</v>
      </c>
      <c r="P115" s="7">
        <f t="shared" si="22"/>
        <v>1</v>
      </c>
    </row>
    <row r="116" spans="1:16" ht="13.8" thickBot="1" x14ac:dyDescent="0.3">
      <c r="A116" s="23" t="s">
        <v>32</v>
      </c>
      <c r="B116">
        <f>0.6*B120</f>
        <v>132</v>
      </c>
      <c r="C116">
        <f>0.5*C120</f>
        <v>360</v>
      </c>
      <c r="D116">
        <f>D120</f>
        <v>600</v>
      </c>
      <c r="E116" s="14">
        <v>1</v>
      </c>
      <c r="G116" s="28">
        <f t="shared" si="23"/>
        <v>-184.86774200872708</v>
      </c>
      <c r="H116" s="8">
        <f t="shared" si="24"/>
        <v>-457.97718227945575</v>
      </c>
      <c r="I116" s="8">
        <f t="shared" si="25"/>
        <v>5240.3893766089523</v>
      </c>
      <c r="J116" s="9">
        <f t="shared" si="26"/>
        <v>1</v>
      </c>
      <c r="L116" s="12" t="s">
        <v>32</v>
      </c>
      <c r="M116" s="4">
        <f t="shared" si="19"/>
        <v>-69.708370428820587</v>
      </c>
      <c r="N116" s="4">
        <f t="shared" si="20"/>
        <v>-485.21070420787419</v>
      </c>
      <c r="O116" s="4">
        <f t="shared" si="21"/>
        <v>4538.235081300083</v>
      </c>
      <c r="P116" s="7">
        <f t="shared" si="22"/>
        <v>1</v>
      </c>
    </row>
    <row r="117" spans="1:16" x14ac:dyDescent="0.25">
      <c r="A117" s="23" t="s">
        <v>34</v>
      </c>
      <c r="B117">
        <f>0.2*B120</f>
        <v>44</v>
      </c>
      <c r="C117">
        <f>0.35*C120</f>
        <v>251.99999999999997</v>
      </c>
      <c r="D117">
        <f>4.5*D120</f>
        <v>2700</v>
      </c>
      <c r="E117" s="14">
        <v>1</v>
      </c>
      <c r="L117" s="12" t="s">
        <v>34</v>
      </c>
      <c r="M117" s="4">
        <f t="shared" si="19"/>
        <v>-65.916578166941207</v>
      </c>
      <c r="N117" s="4">
        <f t="shared" si="20"/>
        <v>659.12117366691064</v>
      </c>
      <c r="O117" s="4">
        <f t="shared" si="21"/>
        <v>2771.9117316296401</v>
      </c>
      <c r="P117" s="7">
        <f t="shared" si="22"/>
        <v>1</v>
      </c>
    </row>
    <row r="118" spans="1:16" x14ac:dyDescent="0.25">
      <c r="A118" s="23" t="s">
        <v>37</v>
      </c>
      <c r="B118">
        <f>B117</f>
        <v>44</v>
      </c>
      <c r="C118">
        <f>0.5*C120</f>
        <v>360</v>
      </c>
      <c r="D118">
        <f>2.5*D120</f>
        <v>1500</v>
      </c>
      <c r="E118" s="14">
        <v>1</v>
      </c>
      <c r="L118" s="12" t="s">
        <v>37</v>
      </c>
      <c r="M118" s="4">
        <f t="shared" si="19"/>
        <v>2.8421709430404007E-14</v>
      </c>
      <c r="N118" s="4">
        <f t="shared" si="20"/>
        <v>-1.3642420526593924E-12</v>
      </c>
      <c r="O118" s="4">
        <f t="shared" si="21"/>
        <v>3778.3302743576219</v>
      </c>
      <c r="P118" s="7">
        <f t="shared" si="22"/>
        <v>1</v>
      </c>
    </row>
    <row r="119" spans="1:16" x14ac:dyDescent="0.25">
      <c r="A119" s="23" t="s">
        <v>38</v>
      </c>
      <c r="B119">
        <f>B117</f>
        <v>44</v>
      </c>
      <c r="C119">
        <f>0.65*C120</f>
        <v>468</v>
      </c>
      <c r="D119">
        <f>3*D120</f>
        <v>1800</v>
      </c>
      <c r="E119" s="14">
        <v>1</v>
      </c>
      <c r="L119" s="12" t="s">
        <v>38</v>
      </c>
      <c r="M119" s="4">
        <f t="shared" si="19"/>
        <v>65.916578166941264</v>
      </c>
      <c r="N119" s="4">
        <f t="shared" si="20"/>
        <v>71.379611191850699</v>
      </c>
      <c r="O119" s="4">
        <f t="shared" si="21"/>
        <v>3474.6463007454777</v>
      </c>
      <c r="P119" s="7">
        <f t="shared" si="22"/>
        <v>1</v>
      </c>
    </row>
    <row r="120" spans="1:16" x14ac:dyDescent="0.25">
      <c r="A120" s="23" t="s">
        <v>39</v>
      </c>
      <c r="B120" s="33">
        <f>A63*110</f>
        <v>220</v>
      </c>
      <c r="C120" s="33">
        <f>A61*90</f>
        <v>720</v>
      </c>
      <c r="D120" s="33">
        <f>A62*120</f>
        <v>600</v>
      </c>
      <c r="E120" s="14">
        <v>1</v>
      </c>
      <c r="L120" s="12" t="s">
        <v>39</v>
      </c>
      <c r="M120" s="4">
        <f t="shared" si="19"/>
        <v>80.305186365496183</v>
      </c>
      <c r="N120" s="4">
        <f t="shared" si="20"/>
        <v>-781.1894234334909</v>
      </c>
      <c r="O120" s="4">
        <f t="shared" si="21"/>
        <v>4373.2001439580708</v>
      </c>
      <c r="P120" s="7">
        <f t="shared" si="22"/>
        <v>1</v>
      </c>
    </row>
    <row r="121" spans="1:16" x14ac:dyDescent="0.25">
      <c r="A121" s="23" t="s">
        <v>6</v>
      </c>
      <c r="B121">
        <v>0</v>
      </c>
      <c r="C121">
        <v>0</v>
      </c>
      <c r="D121">
        <f>3*D120</f>
        <v>1800</v>
      </c>
      <c r="E121" s="29">
        <v>1</v>
      </c>
      <c r="L121" s="12" t="s">
        <v>6</v>
      </c>
      <c r="M121" s="4">
        <f t="shared" si="19"/>
        <v>-184.86774200872708</v>
      </c>
      <c r="N121" s="4">
        <f t="shared" si="20"/>
        <v>418.62375955106097</v>
      </c>
      <c r="O121" s="4">
        <f t="shared" si="21"/>
        <v>3668.2663570008008</v>
      </c>
      <c r="P121" s="7">
        <f t="shared" si="22"/>
        <v>1</v>
      </c>
    </row>
    <row r="122" spans="1:16" x14ac:dyDescent="0.25">
      <c r="A122" s="23" t="s">
        <v>7</v>
      </c>
      <c r="B122">
        <f>0.2*B120</f>
        <v>44</v>
      </c>
      <c r="C122">
        <v>0</v>
      </c>
      <c r="D122">
        <f>3*D120</f>
        <v>1800</v>
      </c>
      <c r="E122" s="29">
        <v>1</v>
      </c>
      <c r="L122" s="12" t="s">
        <v>7</v>
      </c>
      <c r="M122" s="4">
        <f t="shared" si="19"/>
        <v>-219.72192722313738</v>
      </c>
      <c r="N122" s="4">
        <f t="shared" si="20"/>
        <v>395.16864290475371</v>
      </c>
      <c r="O122" s="4">
        <f t="shared" si="21"/>
        <v>3655.1880055699935</v>
      </c>
      <c r="P122" s="7">
        <f t="shared" si="22"/>
        <v>1</v>
      </c>
    </row>
    <row r="123" spans="1:16" x14ac:dyDescent="0.25">
      <c r="A123" s="23" t="s">
        <v>8</v>
      </c>
      <c r="B123">
        <f>0.2*B120</f>
        <v>44</v>
      </c>
      <c r="C123">
        <f>0.3*C120</f>
        <v>216</v>
      </c>
      <c r="D123">
        <f>3*D120</f>
        <v>1800</v>
      </c>
      <c r="E123" s="29">
        <v>1</v>
      </c>
      <c r="L123" s="12" t="s">
        <v>8</v>
      </c>
      <c r="M123" s="4">
        <f t="shared" si="19"/>
        <v>-87.888770889254943</v>
      </c>
      <c r="N123" s="4">
        <f t="shared" si="20"/>
        <v>245.72755134495242</v>
      </c>
      <c r="O123" s="4">
        <f t="shared" si="21"/>
        <v>3571.8610648817557</v>
      </c>
      <c r="P123" s="7">
        <f t="shared" si="22"/>
        <v>1</v>
      </c>
    </row>
    <row r="124" spans="1:16" x14ac:dyDescent="0.25">
      <c r="A124" s="23" t="s">
        <v>5</v>
      </c>
      <c r="B124">
        <f>0.2*B120</f>
        <v>44</v>
      </c>
      <c r="C124">
        <f>0.3*C120</f>
        <v>216</v>
      </c>
      <c r="D124">
        <f>5*D120</f>
        <v>3000</v>
      </c>
      <c r="E124" s="29">
        <v>1</v>
      </c>
      <c r="L124" s="12" t="s">
        <v>5</v>
      </c>
      <c r="M124" s="4">
        <f t="shared" si="19"/>
        <v>-87.888770889254943</v>
      </c>
      <c r="N124" s="4">
        <f t="shared" si="20"/>
        <v>830.12817923196349</v>
      </c>
      <c r="O124" s="4">
        <f t="shared" si="21"/>
        <v>2523.7790518096549</v>
      </c>
      <c r="P124" s="7">
        <f t="shared" si="22"/>
        <v>1</v>
      </c>
    </row>
    <row r="125" spans="1:16" x14ac:dyDescent="0.25">
      <c r="A125" s="23" t="s">
        <v>9</v>
      </c>
      <c r="B125">
        <v>0</v>
      </c>
      <c r="C125">
        <f>0.3*C120</f>
        <v>216</v>
      </c>
      <c r="D125">
        <f>5*D120</f>
        <v>3000</v>
      </c>
      <c r="E125" s="29">
        <v>1</v>
      </c>
      <c r="L125" s="12" t="s">
        <v>9</v>
      </c>
      <c r="M125" s="4">
        <f t="shared" si="19"/>
        <v>-53.034585674844635</v>
      </c>
      <c r="N125" s="4">
        <f t="shared" si="20"/>
        <v>853.58329587827075</v>
      </c>
      <c r="O125" s="4">
        <f t="shared" si="21"/>
        <v>2536.8574032404622</v>
      </c>
      <c r="P125" s="7">
        <f t="shared" si="22"/>
        <v>1</v>
      </c>
    </row>
    <row r="126" spans="1:16" x14ac:dyDescent="0.25">
      <c r="A126" s="23" t="s">
        <v>10</v>
      </c>
      <c r="B126">
        <v>0</v>
      </c>
      <c r="C126">
        <f>0.3*C120</f>
        <v>216</v>
      </c>
      <c r="D126">
        <f>3*D120</f>
        <v>1800</v>
      </c>
      <c r="E126" s="40">
        <v>1</v>
      </c>
      <c r="L126" s="12" t="s">
        <v>10</v>
      </c>
      <c r="M126" s="4">
        <f t="shared" si="19"/>
        <v>-53.034585674844635</v>
      </c>
      <c r="N126" s="4">
        <f t="shared" si="20"/>
        <v>269.18266799125956</v>
      </c>
      <c r="O126" s="4">
        <f t="shared" si="21"/>
        <v>3584.9394163125626</v>
      </c>
      <c r="P126" s="7">
        <f t="shared" si="22"/>
        <v>1</v>
      </c>
    </row>
    <row r="127" spans="1:16" x14ac:dyDescent="0.25">
      <c r="A127" s="23" t="s">
        <v>4</v>
      </c>
      <c r="B127">
        <v>0</v>
      </c>
      <c r="C127">
        <f>0.7*C120</f>
        <v>503.99999999999994</v>
      </c>
      <c r="D127">
        <f>3*D120</f>
        <v>1800</v>
      </c>
      <c r="E127" s="29">
        <v>1</v>
      </c>
      <c r="L127" s="12" t="s">
        <v>4</v>
      </c>
      <c r="M127" s="4">
        <f t="shared" si="19"/>
        <v>122.74295610366528</v>
      </c>
      <c r="N127" s="4">
        <f t="shared" si="20"/>
        <v>69.927879244857763</v>
      </c>
      <c r="O127" s="4">
        <f t="shared" si="21"/>
        <v>3473.8368287282456</v>
      </c>
      <c r="P127" s="7">
        <f t="shared" si="22"/>
        <v>1</v>
      </c>
    </row>
    <row r="128" spans="1:16" x14ac:dyDescent="0.25">
      <c r="A128" s="23" t="s">
        <v>11</v>
      </c>
      <c r="B128">
        <v>0</v>
      </c>
      <c r="C128">
        <f>0.7*C120</f>
        <v>503.99999999999994</v>
      </c>
      <c r="D128">
        <f>5*D120</f>
        <v>3000</v>
      </c>
      <c r="E128" s="14">
        <v>1</v>
      </c>
      <c r="L128" s="12" t="s">
        <v>11</v>
      </c>
      <c r="M128" s="4">
        <f t="shared" si="19"/>
        <v>122.74295610366528</v>
      </c>
      <c r="N128" s="4">
        <f t="shared" si="20"/>
        <v>654.32850713186895</v>
      </c>
      <c r="O128" s="4">
        <f t="shared" si="21"/>
        <v>2425.7548156561447</v>
      </c>
      <c r="P128" s="7">
        <f t="shared" si="22"/>
        <v>1</v>
      </c>
    </row>
    <row r="129" spans="1:16" x14ac:dyDescent="0.25">
      <c r="A129" s="23" t="s">
        <v>12</v>
      </c>
      <c r="B129">
        <f>0.2*B120</f>
        <v>44</v>
      </c>
      <c r="C129">
        <f>0.7*C120</f>
        <v>503.99999999999994</v>
      </c>
      <c r="D129">
        <f>5*D120</f>
        <v>3000</v>
      </c>
      <c r="E129" s="14">
        <v>1</v>
      </c>
      <c r="L129" s="12" t="s">
        <v>12</v>
      </c>
      <c r="M129" s="4">
        <f t="shared" si="19"/>
        <v>87.888770889254943</v>
      </c>
      <c r="N129" s="4">
        <f t="shared" si="20"/>
        <v>630.87339048556169</v>
      </c>
      <c r="O129" s="4">
        <f t="shared" si="21"/>
        <v>2412.6764642253374</v>
      </c>
      <c r="P129" s="7">
        <f t="shared" si="22"/>
        <v>1</v>
      </c>
    </row>
    <row r="130" spans="1:16" x14ac:dyDescent="0.25">
      <c r="A130" s="23" t="s">
        <v>13</v>
      </c>
      <c r="B130">
        <f>0.2*B120</f>
        <v>44</v>
      </c>
      <c r="C130">
        <f>0.7*C120</f>
        <v>503.99999999999994</v>
      </c>
      <c r="D130">
        <f>3*D120</f>
        <v>1800</v>
      </c>
      <c r="E130" s="14">
        <v>1</v>
      </c>
      <c r="L130" s="12" t="s">
        <v>13</v>
      </c>
      <c r="M130" s="4">
        <f t="shared" si="19"/>
        <v>87.888770889254943</v>
      </c>
      <c r="N130" s="4">
        <f t="shared" si="20"/>
        <v>46.472762598550503</v>
      </c>
      <c r="O130" s="4">
        <f t="shared" si="21"/>
        <v>3460.7584772974378</v>
      </c>
      <c r="P130" s="7">
        <f t="shared" si="22"/>
        <v>1</v>
      </c>
    </row>
    <row r="131" spans="1:16" x14ac:dyDescent="0.25">
      <c r="A131" s="23" t="s">
        <v>14</v>
      </c>
      <c r="B131">
        <f>0.2*B120</f>
        <v>44</v>
      </c>
      <c r="C131">
        <f>C120</f>
        <v>720</v>
      </c>
      <c r="D131">
        <f>3*D120</f>
        <v>1800</v>
      </c>
      <c r="E131" s="14">
        <v>1</v>
      </c>
      <c r="L131" s="12" t="s">
        <v>14</v>
      </c>
      <c r="M131" s="4">
        <f t="shared" si="19"/>
        <v>219.72192722313741</v>
      </c>
      <c r="N131" s="4">
        <f t="shared" si="20"/>
        <v>-102.9683289612509</v>
      </c>
      <c r="O131" s="4">
        <f t="shared" si="21"/>
        <v>3377.4315366091996</v>
      </c>
      <c r="P131" s="7">
        <f t="shared" si="22"/>
        <v>1</v>
      </c>
    </row>
    <row r="132" spans="1:16" x14ac:dyDescent="0.25">
      <c r="A132" s="12" t="s">
        <v>15</v>
      </c>
      <c r="B132" s="6">
        <v>0</v>
      </c>
      <c r="C132">
        <f>C120</f>
        <v>720</v>
      </c>
      <c r="D132">
        <f>3*D120</f>
        <v>1800</v>
      </c>
      <c r="E132" s="14">
        <v>1</v>
      </c>
      <c r="L132" s="12" t="s">
        <v>15</v>
      </c>
      <c r="M132" s="4">
        <f t="shared" si="19"/>
        <v>254.57611243754775</v>
      </c>
      <c r="N132" s="4">
        <f t="shared" si="20"/>
        <v>-79.513212314943644</v>
      </c>
      <c r="O132" s="4">
        <f t="shared" si="21"/>
        <v>3390.5098880400074</v>
      </c>
      <c r="P132" s="7">
        <f t="shared" si="22"/>
        <v>1</v>
      </c>
    </row>
    <row r="133" spans="1:16" x14ac:dyDescent="0.25">
      <c r="A133" s="13" t="s">
        <v>21</v>
      </c>
      <c r="B133" s="6">
        <v>0</v>
      </c>
      <c r="C133">
        <f>C120</f>
        <v>720</v>
      </c>
      <c r="D133">
        <v>0</v>
      </c>
      <c r="E133" s="14">
        <v>1</v>
      </c>
      <c r="L133" s="12" t="s">
        <v>21</v>
      </c>
      <c r="M133" s="4">
        <f t="shared" si="19"/>
        <v>254.57611243754775</v>
      </c>
      <c r="N133" s="4">
        <f t="shared" si="20"/>
        <v>-956.11415414546036</v>
      </c>
      <c r="O133" s="4">
        <f t="shared" si="21"/>
        <v>4962.6329076481588</v>
      </c>
      <c r="P133" s="7">
        <f t="shared" si="22"/>
        <v>1</v>
      </c>
    </row>
    <row r="134" spans="1:16" x14ac:dyDescent="0.25">
      <c r="A134" s="13" t="s">
        <v>22</v>
      </c>
      <c r="B134" s="6">
        <f>0.7*B120</f>
        <v>154</v>
      </c>
      <c r="C134">
        <f>C120</f>
        <v>720</v>
      </c>
      <c r="D134">
        <v>0</v>
      </c>
      <c r="E134" s="14">
        <v>1</v>
      </c>
      <c r="L134" s="12" t="s">
        <v>22</v>
      </c>
      <c r="M134" s="4">
        <f t="shared" si="19"/>
        <v>132.58646418711169</v>
      </c>
      <c r="N134" s="4">
        <f t="shared" si="20"/>
        <v>-1038.2070624075357</v>
      </c>
      <c r="O134" s="4">
        <f t="shared" si="21"/>
        <v>4916.8586776403326</v>
      </c>
      <c r="P134" s="7">
        <f t="shared" si="22"/>
        <v>1</v>
      </c>
    </row>
    <row r="135" spans="1:16" x14ac:dyDescent="0.25">
      <c r="A135" s="13" t="s">
        <v>23</v>
      </c>
      <c r="B135" s="6">
        <f>0.7*B120</f>
        <v>154</v>
      </c>
      <c r="C135">
        <f>C120</f>
        <v>720</v>
      </c>
      <c r="D135">
        <f>D120</f>
        <v>600</v>
      </c>
      <c r="E135" s="14">
        <v>1</v>
      </c>
      <c r="L135" s="12" t="s">
        <v>23</v>
      </c>
      <c r="M135" s="4">
        <f t="shared" si="19"/>
        <v>132.58646418711169</v>
      </c>
      <c r="N135" s="4">
        <f t="shared" si="20"/>
        <v>-746.00674846403012</v>
      </c>
      <c r="O135" s="4">
        <f t="shared" si="21"/>
        <v>4392.8176711042815</v>
      </c>
      <c r="P135" s="7">
        <f t="shared" si="22"/>
        <v>1</v>
      </c>
    </row>
    <row r="136" spans="1:16" x14ac:dyDescent="0.25">
      <c r="A136" s="13" t="s">
        <v>17</v>
      </c>
      <c r="B136" s="6">
        <f>0.2*B120</f>
        <v>44</v>
      </c>
      <c r="C136">
        <f>C120</f>
        <v>720</v>
      </c>
      <c r="D136">
        <f>D120</f>
        <v>600</v>
      </c>
      <c r="E136" s="14">
        <v>1</v>
      </c>
      <c r="L136" s="12" t="s">
        <v>17</v>
      </c>
      <c r="M136" s="4">
        <f t="shared" si="19"/>
        <v>219.72192722313741</v>
      </c>
      <c r="N136" s="4">
        <f t="shared" si="20"/>
        <v>-687.36895684826209</v>
      </c>
      <c r="O136" s="4">
        <f t="shared" si="21"/>
        <v>4425.5135496813009</v>
      </c>
      <c r="P136" s="7">
        <f t="shared" si="22"/>
        <v>1</v>
      </c>
    </row>
    <row r="137" spans="1:16" x14ac:dyDescent="0.25">
      <c r="A137" s="13" t="s">
        <v>16</v>
      </c>
      <c r="B137" s="6">
        <f>0.2*B120</f>
        <v>44</v>
      </c>
      <c r="C137">
        <v>0</v>
      </c>
      <c r="D137">
        <f>D120</f>
        <v>600</v>
      </c>
      <c r="E137" s="14">
        <v>1</v>
      </c>
      <c r="L137" s="12" t="s">
        <v>16</v>
      </c>
      <c r="M137" s="4">
        <f t="shared" si="19"/>
        <v>-219.72192722313738</v>
      </c>
      <c r="N137" s="4">
        <f t="shared" si="20"/>
        <v>-189.23198498225742</v>
      </c>
      <c r="O137" s="4">
        <f t="shared" si="21"/>
        <v>4703.2700186420943</v>
      </c>
      <c r="P137" s="7">
        <f t="shared" si="22"/>
        <v>1</v>
      </c>
    </row>
    <row r="138" spans="1:16" x14ac:dyDescent="0.25">
      <c r="A138" s="13" t="s">
        <v>24</v>
      </c>
      <c r="B138" s="6">
        <f>B120</f>
        <v>220</v>
      </c>
      <c r="C138">
        <v>0</v>
      </c>
      <c r="D138">
        <f>D120</f>
        <v>600</v>
      </c>
      <c r="E138" s="14">
        <v>1</v>
      </c>
      <c r="L138" s="12" t="s">
        <v>24</v>
      </c>
      <c r="M138" s="4">
        <f t="shared" si="19"/>
        <v>-359.13866808077864</v>
      </c>
      <c r="N138" s="4">
        <f t="shared" si="20"/>
        <v>-283.0524515674864</v>
      </c>
      <c r="O138" s="4">
        <f t="shared" si="21"/>
        <v>4650.9566129188643</v>
      </c>
      <c r="P138" s="7">
        <f t="shared" si="22"/>
        <v>1</v>
      </c>
    </row>
    <row r="139" spans="1:16" x14ac:dyDescent="0.25">
      <c r="A139" s="13" t="s">
        <v>25</v>
      </c>
      <c r="B139" s="6">
        <f>B120</f>
        <v>220</v>
      </c>
      <c r="C139">
        <v>0</v>
      </c>
      <c r="D139">
        <v>0</v>
      </c>
      <c r="E139" s="14">
        <v>1</v>
      </c>
      <c r="L139" s="12" t="s">
        <v>25</v>
      </c>
      <c r="M139" s="4">
        <f t="shared" si="19"/>
        <v>-359.13866808077864</v>
      </c>
      <c r="N139" s="4">
        <f t="shared" si="20"/>
        <v>-575.25276551099194</v>
      </c>
      <c r="O139" s="4">
        <f t="shared" si="21"/>
        <v>5174.9976194549154</v>
      </c>
      <c r="P139" s="7">
        <f t="shared" si="22"/>
        <v>1</v>
      </c>
    </row>
    <row r="140" spans="1:16" x14ac:dyDescent="0.25">
      <c r="A140" s="13" t="s">
        <v>26</v>
      </c>
      <c r="B140" s="6">
        <f>B120</f>
        <v>220</v>
      </c>
      <c r="C140">
        <f>0.4*C120</f>
        <v>288</v>
      </c>
      <c r="D140">
        <v>0</v>
      </c>
      <c r="E140" s="14">
        <v>1</v>
      </c>
      <c r="L140" s="12" t="s">
        <v>26</v>
      </c>
      <c r="M140" s="4">
        <f t="shared" si="19"/>
        <v>-183.36112630226867</v>
      </c>
      <c r="N140" s="4">
        <f t="shared" si="20"/>
        <v>-774.50755425739385</v>
      </c>
      <c r="O140" s="4">
        <f t="shared" si="21"/>
        <v>5063.8950318705974</v>
      </c>
      <c r="P140" s="7">
        <f t="shared" si="22"/>
        <v>1</v>
      </c>
    </row>
    <row r="141" spans="1:16" x14ac:dyDescent="0.25">
      <c r="A141" s="13" t="s">
        <v>27</v>
      </c>
      <c r="B141" s="6">
        <f>B120</f>
        <v>220</v>
      </c>
      <c r="C141">
        <f>0.4*C120</f>
        <v>288</v>
      </c>
      <c r="D141">
        <f>D120</f>
        <v>600</v>
      </c>
      <c r="E141" s="14">
        <v>1</v>
      </c>
      <c r="L141" s="12" t="s">
        <v>27</v>
      </c>
      <c r="M141" s="4">
        <f t="shared" si="19"/>
        <v>-183.36112630226867</v>
      </c>
      <c r="N141" s="4">
        <f t="shared" si="20"/>
        <v>-482.30724031388826</v>
      </c>
      <c r="O141" s="4">
        <f t="shared" si="21"/>
        <v>4539.8540253345473</v>
      </c>
      <c r="P141" s="7">
        <f t="shared" si="22"/>
        <v>1</v>
      </c>
    </row>
    <row r="142" spans="1:16" x14ac:dyDescent="0.25">
      <c r="A142" s="13" t="s">
        <v>28</v>
      </c>
      <c r="B142" s="6">
        <f>0.7*B120</f>
        <v>154</v>
      </c>
      <c r="C142">
        <f>0.4*C120</f>
        <v>288</v>
      </c>
      <c r="D142">
        <f>D120</f>
        <v>600</v>
      </c>
      <c r="E142" s="14">
        <v>1</v>
      </c>
      <c r="L142" s="12" t="s">
        <v>28</v>
      </c>
      <c r="M142" s="4">
        <f t="shared" si="19"/>
        <v>-131.0798484806532</v>
      </c>
      <c r="N142" s="4">
        <f t="shared" si="20"/>
        <v>-447.12456534442737</v>
      </c>
      <c r="O142" s="4">
        <f t="shared" si="21"/>
        <v>4559.471552480758</v>
      </c>
      <c r="P142" s="7">
        <f t="shared" si="22"/>
        <v>1</v>
      </c>
    </row>
    <row r="143" spans="1:16" x14ac:dyDescent="0.25">
      <c r="A143" s="14" t="s">
        <v>0</v>
      </c>
      <c r="B143">
        <f>0.7*B120</f>
        <v>154</v>
      </c>
      <c r="C143">
        <f>0.4*C120</f>
        <v>288</v>
      </c>
      <c r="D143">
        <v>0</v>
      </c>
      <c r="E143" s="14">
        <v>1</v>
      </c>
      <c r="L143" s="12" t="s">
        <v>0</v>
      </c>
      <c r="M143" s="4">
        <f t="shared" si="19"/>
        <v>-131.0798484806532</v>
      </c>
      <c r="N143" s="4">
        <f t="shared" si="20"/>
        <v>-739.32487928793296</v>
      </c>
      <c r="O143" s="4">
        <f t="shared" si="21"/>
        <v>5083.5125590168091</v>
      </c>
      <c r="P143" s="7">
        <f t="shared" si="22"/>
        <v>1</v>
      </c>
    </row>
    <row r="144" spans="1:16" x14ac:dyDescent="0.25">
      <c r="A144" s="14" t="s">
        <v>1</v>
      </c>
      <c r="B144">
        <f>0.25*B120</f>
        <v>55</v>
      </c>
      <c r="C144">
        <f>0.15*C120</f>
        <v>108</v>
      </c>
      <c r="D144">
        <f>D120</f>
        <v>600</v>
      </c>
      <c r="E144" s="14">
        <v>1</v>
      </c>
      <c r="L144" s="12" t="s">
        <v>1</v>
      </c>
      <c r="M144" s="4">
        <f t="shared" si="19"/>
        <v>-162.51889535979873</v>
      </c>
      <c r="N144" s="4">
        <f t="shared" si="20"/>
        <v>-269.81630992373493</v>
      </c>
      <c r="O144" s="4">
        <f t="shared" si="21"/>
        <v>4658.3369604402733</v>
      </c>
      <c r="P144" s="7">
        <f t="shared" si="22"/>
        <v>1</v>
      </c>
    </row>
    <row r="145" spans="1:16" ht="13.8" thickBot="1" x14ac:dyDescent="0.3">
      <c r="A145" s="16" t="s">
        <v>2</v>
      </c>
      <c r="B145" s="28">
        <f>0.6*B120</f>
        <v>132</v>
      </c>
      <c r="C145" s="8">
        <f>0.15*C120</f>
        <v>108</v>
      </c>
      <c r="D145" s="8">
        <f>D120</f>
        <v>600</v>
      </c>
      <c r="E145" s="16">
        <v>1</v>
      </c>
      <c r="L145" s="55" t="s">
        <v>2</v>
      </c>
      <c r="M145" s="8">
        <f t="shared" si="19"/>
        <v>-223.51371948501679</v>
      </c>
      <c r="N145" s="8">
        <f t="shared" si="20"/>
        <v>-310.86276405477258</v>
      </c>
      <c r="O145" s="8">
        <f t="shared" si="21"/>
        <v>4635.4498454363602</v>
      </c>
      <c r="P145" s="9">
        <f t="shared" si="22"/>
        <v>1</v>
      </c>
    </row>
    <row r="147" spans="1:16" x14ac:dyDescent="0.25">
      <c r="A147" s="42" t="s">
        <v>67</v>
      </c>
    </row>
    <row r="148" spans="1:16" ht="13.8" thickBot="1" x14ac:dyDescent="0.3">
      <c r="D148" s="57"/>
      <c r="J148" s="57"/>
      <c r="K148" s="4"/>
      <c r="L148" s="4"/>
      <c r="M148" s="4"/>
      <c r="N148" s="4"/>
    </row>
    <row r="149" spans="1:16" x14ac:dyDescent="0.25">
      <c r="A149" s="24" t="s">
        <v>3</v>
      </c>
      <c r="B149" s="10">
        <f>VLOOKUP(A149, $L$113:$P$145, 3)</f>
        <v>-457.97718227945575</v>
      </c>
      <c r="C149" s="11">
        <f>VLOOKUP(A149, $L$113:$P$145, 2)</f>
        <v>-184.86774200872708</v>
      </c>
      <c r="J149" s="4"/>
      <c r="K149" s="4"/>
      <c r="L149" s="4"/>
      <c r="M149" s="4"/>
      <c r="N149" s="4"/>
    </row>
    <row r="150" spans="1:16" x14ac:dyDescent="0.25">
      <c r="A150" s="6" t="s">
        <v>25</v>
      </c>
      <c r="B150" s="4">
        <f t="shared" ref="B150" si="27">VLOOKUP(A150, $L$113:$P$145, 3)</f>
        <v>-575.25276551099194</v>
      </c>
      <c r="C150" s="7">
        <f t="shared" ref="C150:C201" si="28">VLOOKUP(A150, $L$113:$P$145, 2)</f>
        <v>-359.13866808077864</v>
      </c>
      <c r="J150" s="13"/>
      <c r="K150" s="57"/>
      <c r="L150" s="57"/>
      <c r="M150" s="57"/>
      <c r="N150" s="57"/>
    </row>
    <row r="151" spans="1:16" x14ac:dyDescent="0.25">
      <c r="A151" s="6" t="s">
        <v>26</v>
      </c>
      <c r="B151" s="4">
        <f t="shared" ref="B151" si="29">VLOOKUP(A151, $L$113:$P$145, 3)</f>
        <v>-774.50755425739385</v>
      </c>
      <c r="C151" s="7">
        <f t="shared" si="28"/>
        <v>-183.36112630226867</v>
      </c>
      <c r="J151" s="13"/>
      <c r="K151" s="57"/>
      <c r="L151" s="57"/>
      <c r="M151" s="57"/>
      <c r="N151" s="4"/>
    </row>
    <row r="152" spans="1:16" x14ac:dyDescent="0.25">
      <c r="A152" s="6" t="s">
        <v>0</v>
      </c>
      <c r="B152" s="4">
        <f t="shared" ref="B152" si="30">VLOOKUP(A152, $L$113:$P$145, 3)</f>
        <v>-739.32487928793296</v>
      </c>
      <c r="C152" s="7">
        <f t="shared" si="28"/>
        <v>-131.0798484806532</v>
      </c>
      <c r="J152" s="13"/>
      <c r="K152" s="57"/>
      <c r="L152" s="57"/>
      <c r="M152" s="57"/>
      <c r="N152" s="4"/>
    </row>
    <row r="153" spans="1:16" x14ac:dyDescent="0.25">
      <c r="A153" s="6" t="s">
        <v>22</v>
      </c>
      <c r="B153" s="4">
        <f t="shared" ref="B153" si="31">VLOOKUP(A153, $L$113:$P$145, 3)</f>
        <v>-1038.2070624075357</v>
      </c>
      <c r="C153" s="7">
        <f t="shared" si="28"/>
        <v>132.58646418711169</v>
      </c>
      <c r="J153" s="13"/>
      <c r="K153" s="57"/>
      <c r="L153" s="57"/>
      <c r="M153" s="57"/>
      <c r="N153" s="4"/>
    </row>
    <row r="154" spans="1:16" x14ac:dyDescent="0.25">
      <c r="A154" s="6" t="s">
        <v>21</v>
      </c>
      <c r="B154" s="4">
        <f t="shared" ref="B154" si="32">VLOOKUP(A154, $L$113:$P$145, 3)</f>
        <v>-956.11415414546036</v>
      </c>
      <c r="C154" s="7">
        <f t="shared" si="28"/>
        <v>254.57611243754775</v>
      </c>
      <c r="J154" s="13"/>
      <c r="K154" s="57"/>
      <c r="L154" s="57"/>
      <c r="M154" s="57"/>
      <c r="N154" s="4"/>
    </row>
    <row r="155" spans="1:16" x14ac:dyDescent="0.25">
      <c r="A155" s="6" t="s">
        <v>3</v>
      </c>
      <c r="B155" s="4">
        <f t="shared" ref="B155" si="33">VLOOKUP(A155, $L$113:$P$145, 3)</f>
        <v>-457.97718227945575</v>
      </c>
      <c r="C155" s="7">
        <f t="shared" si="28"/>
        <v>-184.86774200872708</v>
      </c>
      <c r="J155" s="13"/>
      <c r="K155" s="57"/>
      <c r="L155" s="57"/>
      <c r="M155" s="57"/>
      <c r="N155" s="4"/>
    </row>
    <row r="156" spans="1:16" x14ac:dyDescent="0.25">
      <c r="A156" s="6"/>
      <c r="B156" s="4"/>
      <c r="C156" s="7"/>
      <c r="J156" s="13"/>
      <c r="K156" s="57"/>
      <c r="L156" s="57"/>
      <c r="M156" s="57"/>
      <c r="N156" s="4"/>
    </row>
    <row r="157" spans="1:16" x14ac:dyDescent="0.25">
      <c r="A157" s="6" t="s">
        <v>16</v>
      </c>
      <c r="B157" s="4">
        <f t="shared" ref="B157" si="34">VLOOKUP(A157, $L$113:$P$145, 3)</f>
        <v>-189.23198498225742</v>
      </c>
      <c r="C157" s="7">
        <f t="shared" si="28"/>
        <v>-219.72192722313738</v>
      </c>
      <c r="J157" s="13"/>
      <c r="K157" s="57"/>
      <c r="L157" s="57"/>
      <c r="M157" s="57"/>
      <c r="N157" s="4"/>
    </row>
    <row r="158" spans="1:16" x14ac:dyDescent="0.25">
      <c r="A158" s="6" t="s">
        <v>24</v>
      </c>
      <c r="B158" s="4">
        <f t="shared" ref="B158" si="35">VLOOKUP(A158, $L$113:$P$145, 3)</f>
        <v>-283.0524515674864</v>
      </c>
      <c r="C158" s="7">
        <f t="shared" si="28"/>
        <v>-359.13866808077864</v>
      </c>
      <c r="J158" s="13"/>
      <c r="K158" s="57"/>
      <c r="L158" s="57"/>
      <c r="M158" s="57"/>
      <c r="N158" s="4"/>
    </row>
    <row r="159" spans="1:16" x14ac:dyDescent="0.25">
      <c r="A159" s="6" t="s">
        <v>27</v>
      </c>
      <c r="B159" s="4">
        <f t="shared" ref="B159" si="36">VLOOKUP(A159, $L$113:$P$145, 3)</f>
        <v>-482.30724031388826</v>
      </c>
      <c r="C159" s="7">
        <f t="shared" si="28"/>
        <v>-183.36112630226867</v>
      </c>
      <c r="J159" s="13"/>
      <c r="K159" s="57"/>
      <c r="L159" s="57"/>
      <c r="M159" s="57"/>
      <c r="N159" s="4"/>
    </row>
    <row r="160" spans="1:16" x14ac:dyDescent="0.25">
      <c r="A160" s="6" t="s">
        <v>28</v>
      </c>
      <c r="B160" s="4">
        <f t="shared" ref="B160" si="37">VLOOKUP(A160, $L$113:$P$145, 3)</f>
        <v>-447.12456534442737</v>
      </c>
      <c r="C160" s="7">
        <f t="shared" si="28"/>
        <v>-131.0798484806532</v>
      </c>
      <c r="J160" s="13"/>
      <c r="K160" s="57"/>
      <c r="L160" s="57"/>
      <c r="M160" s="57"/>
      <c r="N160" s="4"/>
    </row>
    <row r="161" spans="1:14" x14ac:dyDescent="0.25">
      <c r="A161" s="6" t="s">
        <v>23</v>
      </c>
      <c r="B161" s="4">
        <f t="shared" ref="B161" si="38">VLOOKUP(A161, $L$113:$P$145, 3)</f>
        <v>-746.00674846403012</v>
      </c>
      <c r="C161" s="7">
        <f t="shared" si="28"/>
        <v>132.58646418711169</v>
      </c>
      <c r="J161" s="13"/>
      <c r="K161" s="57"/>
      <c r="L161" s="57"/>
      <c r="M161" s="57"/>
      <c r="N161" s="4"/>
    </row>
    <row r="162" spans="1:14" x14ac:dyDescent="0.25">
      <c r="A162" s="6" t="s">
        <v>17</v>
      </c>
      <c r="B162" s="4">
        <f t="shared" ref="B162" si="39">VLOOKUP(A162, $L$113:$P$145, 3)</f>
        <v>-687.36895684826209</v>
      </c>
      <c r="C162" s="7">
        <f t="shared" si="28"/>
        <v>219.72192722313741</v>
      </c>
      <c r="J162" s="13"/>
      <c r="K162" s="57"/>
      <c r="L162" s="57"/>
      <c r="M162" s="57"/>
      <c r="N162" s="4"/>
    </row>
    <row r="163" spans="1:14" x14ac:dyDescent="0.25">
      <c r="A163" s="6" t="s">
        <v>16</v>
      </c>
      <c r="B163" s="4">
        <f t="shared" ref="B163" si="40">VLOOKUP(A163, $L$113:$P$145, 3)</f>
        <v>-189.23198498225742</v>
      </c>
      <c r="C163" s="7">
        <f t="shared" si="28"/>
        <v>-219.72192722313738</v>
      </c>
      <c r="J163" s="13"/>
      <c r="K163" s="57"/>
      <c r="L163" s="57"/>
      <c r="M163" s="57"/>
      <c r="N163" s="4"/>
    </row>
    <row r="164" spans="1:14" x14ac:dyDescent="0.25">
      <c r="A164" s="6"/>
      <c r="B164" s="4"/>
      <c r="C164" s="7"/>
      <c r="J164" s="13"/>
      <c r="K164" s="57"/>
      <c r="L164" s="57"/>
      <c r="M164" s="57"/>
      <c r="N164" s="4"/>
    </row>
    <row r="165" spans="1:14" x14ac:dyDescent="0.25">
      <c r="A165" s="6" t="s">
        <v>6</v>
      </c>
      <c r="B165" s="4">
        <f t="shared" ref="B165" si="41">VLOOKUP(A165, $L$113:$P$145, 3)</f>
        <v>418.62375955106097</v>
      </c>
      <c r="C165" s="7">
        <f t="shared" si="28"/>
        <v>-184.86774200872708</v>
      </c>
      <c r="J165" s="13"/>
      <c r="K165" s="57"/>
      <c r="L165" s="57"/>
      <c r="M165" s="57"/>
      <c r="N165" s="4"/>
    </row>
    <row r="166" spans="1:14" x14ac:dyDescent="0.25">
      <c r="A166" s="6" t="s">
        <v>7</v>
      </c>
      <c r="B166" s="4">
        <f t="shared" ref="B166" si="42">VLOOKUP(A166, $L$113:$P$145, 3)</f>
        <v>395.16864290475371</v>
      </c>
      <c r="C166" s="7">
        <f t="shared" si="28"/>
        <v>-219.72192722313738</v>
      </c>
      <c r="J166" s="13"/>
      <c r="K166" s="57"/>
      <c r="L166" s="57"/>
      <c r="M166" s="57"/>
      <c r="N166" s="4"/>
    </row>
    <row r="167" spans="1:14" x14ac:dyDescent="0.25">
      <c r="A167" s="6" t="s">
        <v>8</v>
      </c>
      <c r="B167" s="4">
        <f t="shared" ref="B167" si="43">VLOOKUP(A167, $L$113:$P$145, 3)</f>
        <v>245.72755134495242</v>
      </c>
      <c r="C167" s="7">
        <f t="shared" si="28"/>
        <v>-87.888770889254943</v>
      </c>
      <c r="J167" s="13"/>
      <c r="K167" s="57"/>
      <c r="L167" s="57"/>
      <c r="M167" s="57"/>
      <c r="N167" s="4"/>
    </row>
    <row r="168" spans="1:14" x14ac:dyDescent="0.25">
      <c r="A168" s="6" t="s">
        <v>10</v>
      </c>
      <c r="B168" s="4">
        <f t="shared" ref="B168" si="44">VLOOKUP(A168, $L$113:$P$145, 3)</f>
        <v>269.18266799125956</v>
      </c>
      <c r="C168" s="7">
        <f t="shared" si="28"/>
        <v>-53.034585674844635</v>
      </c>
      <c r="J168" s="13"/>
      <c r="K168" s="57"/>
      <c r="L168" s="57"/>
      <c r="M168" s="57"/>
      <c r="N168" s="4"/>
    </row>
    <row r="169" spans="1:14" x14ac:dyDescent="0.25">
      <c r="A169" s="6" t="s">
        <v>6</v>
      </c>
      <c r="B169" s="4">
        <f t="shared" ref="B169" si="45">VLOOKUP(A169, $L$113:$P$145, 3)</f>
        <v>418.62375955106097</v>
      </c>
      <c r="C169" s="7">
        <f t="shared" si="28"/>
        <v>-184.86774200872708</v>
      </c>
      <c r="J169" s="13"/>
      <c r="K169" s="57"/>
      <c r="L169" s="57"/>
      <c r="M169" s="57"/>
      <c r="N169" s="4"/>
    </row>
    <row r="170" spans="1:14" x14ac:dyDescent="0.25">
      <c r="A170" s="6"/>
      <c r="B170" s="4"/>
      <c r="C170" s="7"/>
      <c r="J170" s="13"/>
      <c r="K170" s="57"/>
      <c r="L170" s="57"/>
      <c r="M170" s="57"/>
      <c r="N170" s="4"/>
    </row>
    <row r="171" spans="1:14" x14ac:dyDescent="0.25">
      <c r="A171" s="6" t="s">
        <v>13</v>
      </c>
      <c r="B171" s="4">
        <f t="shared" ref="B171" si="46">VLOOKUP(A171, $L$113:$P$145, 3)</f>
        <v>46.472762598550503</v>
      </c>
      <c r="C171" s="7">
        <f t="shared" si="28"/>
        <v>87.888770889254943</v>
      </c>
      <c r="J171" s="13"/>
      <c r="K171" s="57"/>
      <c r="L171" s="57"/>
      <c r="M171" s="57"/>
      <c r="N171" s="4"/>
    </row>
    <row r="172" spans="1:14" x14ac:dyDescent="0.25">
      <c r="A172" s="6" t="s">
        <v>14</v>
      </c>
      <c r="B172" s="4">
        <f t="shared" ref="B172" si="47">VLOOKUP(A172, $L$113:$P$145, 3)</f>
        <v>-102.9683289612509</v>
      </c>
      <c r="C172" s="7">
        <f t="shared" si="28"/>
        <v>219.72192722313741</v>
      </c>
      <c r="J172" s="13"/>
      <c r="K172" s="57"/>
      <c r="L172" s="57"/>
      <c r="M172" s="57"/>
      <c r="N172" s="4"/>
    </row>
    <row r="173" spans="1:14" x14ac:dyDescent="0.25">
      <c r="A173" s="6" t="s">
        <v>15</v>
      </c>
      <c r="B173" s="4">
        <f t="shared" ref="B173" si="48">VLOOKUP(A173, $L$113:$P$145, 3)</f>
        <v>-79.513212314943644</v>
      </c>
      <c r="C173" s="7">
        <f t="shared" si="28"/>
        <v>254.57611243754775</v>
      </c>
      <c r="J173" s="13"/>
      <c r="K173" s="57"/>
      <c r="L173" s="57"/>
      <c r="M173" s="57"/>
      <c r="N173" s="4"/>
    </row>
    <row r="174" spans="1:14" x14ac:dyDescent="0.25">
      <c r="A174" s="6" t="s">
        <v>4</v>
      </c>
      <c r="B174" s="4">
        <f t="shared" ref="B174" si="49">VLOOKUP(A174, $L$113:$P$145, 3)</f>
        <v>69.927879244857763</v>
      </c>
      <c r="C174" s="7">
        <f t="shared" si="28"/>
        <v>122.74295610366528</v>
      </c>
      <c r="J174" s="13"/>
      <c r="K174" s="57"/>
      <c r="L174" s="57"/>
      <c r="M174" s="57"/>
      <c r="N174" s="4"/>
    </row>
    <row r="175" spans="1:14" x14ac:dyDescent="0.25">
      <c r="A175" s="6" t="s">
        <v>13</v>
      </c>
      <c r="B175" s="4">
        <f t="shared" ref="B175" si="50">VLOOKUP(A175, $L$113:$P$145, 3)</f>
        <v>46.472762598550503</v>
      </c>
      <c r="C175" s="7">
        <f t="shared" si="28"/>
        <v>87.888770889254943</v>
      </c>
      <c r="J175" s="13"/>
      <c r="K175" s="57"/>
      <c r="L175" s="57"/>
      <c r="M175" s="57"/>
      <c r="N175" s="4"/>
    </row>
    <row r="176" spans="1:14" x14ac:dyDescent="0.25">
      <c r="A176" s="6"/>
      <c r="B176" s="4"/>
      <c r="C176" s="7"/>
      <c r="J176" s="13"/>
      <c r="K176" s="57"/>
      <c r="L176" s="57"/>
      <c r="M176" s="57"/>
      <c r="N176" s="4"/>
    </row>
    <row r="177" spans="1:14" x14ac:dyDescent="0.25">
      <c r="A177" s="6" t="s">
        <v>12</v>
      </c>
      <c r="B177" s="4">
        <f t="shared" ref="B177" si="51">VLOOKUP(A177, $L$113:$P$145, 3)</f>
        <v>630.87339048556169</v>
      </c>
      <c r="C177" s="7">
        <f t="shared" si="28"/>
        <v>87.888770889254943</v>
      </c>
      <c r="J177" s="13"/>
      <c r="K177" s="57"/>
      <c r="L177" s="57"/>
      <c r="M177" s="57"/>
      <c r="N177" s="4"/>
    </row>
    <row r="178" spans="1:14" x14ac:dyDescent="0.25">
      <c r="A178" s="6" t="s">
        <v>29</v>
      </c>
      <c r="B178" s="4">
        <f t="shared" ref="B178" si="52">VLOOKUP(A178, $L$113:$P$145, 3)</f>
        <v>654.32850713186895</v>
      </c>
      <c r="C178" s="7">
        <f t="shared" si="28"/>
        <v>122.74295610366528</v>
      </c>
      <c r="J178" s="13"/>
      <c r="K178" s="57"/>
      <c r="L178" s="57"/>
      <c r="M178" s="57"/>
      <c r="N178" s="4"/>
    </row>
    <row r="179" spans="1:14" x14ac:dyDescent="0.25">
      <c r="A179" s="6" t="s">
        <v>9</v>
      </c>
      <c r="B179" s="4">
        <f t="shared" ref="B179" si="53">VLOOKUP(A179, $L$113:$P$145, 3)</f>
        <v>853.58329587827075</v>
      </c>
      <c r="C179" s="7">
        <f t="shared" si="28"/>
        <v>-53.034585674844635</v>
      </c>
      <c r="J179" s="13"/>
      <c r="K179" s="57"/>
      <c r="L179" s="57"/>
      <c r="M179" s="57"/>
      <c r="N179" s="4"/>
    </row>
    <row r="180" spans="1:14" x14ac:dyDescent="0.25">
      <c r="A180" s="6" t="s">
        <v>5</v>
      </c>
      <c r="B180" s="4">
        <f t="shared" ref="B180" si="54">VLOOKUP(A180, $L$113:$P$145, 3)</f>
        <v>830.12817923196349</v>
      </c>
      <c r="C180" s="7">
        <f t="shared" si="28"/>
        <v>-87.888770889254943</v>
      </c>
      <c r="J180" s="13"/>
      <c r="K180" s="57"/>
      <c r="L180" s="57"/>
      <c r="M180" s="57"/>
      <c r="N180" s="4"/>
    </row>
    <row r="181" spans="1:14" x14ac:dyDescent="0.25">
      <c r="A181" s="6" t="s">
        <v>12</v>
      </c>
      <c r="B181" s="4">
        <f t="shared" ref="B181" si="55">VLOOKUP(A181, $L$113:$P$145, 3)</f>
        <v>630.87339048556169</v>
      </c>
      <c r="C181" s="7">
        <f t="shared" si="28"/>
        <v>87.888770889254943</v>
      </c>
      <c r="J181" s="13"/>
      <c r="K181" s="57"/>
      <c r="L181" s="57"/>
      <c r="M181" s="57"/>
      <c r="N181" s="4"/>
    </row>
    <row r="182" spans="1:14" x14ac:dyDescent="0.25">
      <c r="A182" s="6"/>
      <c r="B182" s="4"/>
      <c r="C182" s="7"/>
      <c r="J182" s="13"/>
      <c r="K182" s="57"/>
      <c r="L182" s="57"/>
      <c r="M182" s="57"/>
      <c r="N182" s="4"/>
    </row>
    <row r="183" spans="1:14" x14ac:dyDescent="0.25">
      <c r="A183" s="6" t="s">
        <v>6</v>
      </c>
      <c r="B183" s="4">
        <f t="shared" ref="B183" si="56">VLOOKUP(A183, $L$113:$P$145, 3)</f>
        <v>418.62375955106097</v>
      </c>
      <c r="C183" s="7">
        <f t="shared" si="28"/>
        <v>-184.86774200872708</v>
      </c>
    </row>
    <row r="184" spans="1:14" x14ac:dyDescent="0.25">
      <c r="A184" s="6" t="s">
        <v>3</v>
      </c>
      <c r="B184" s="4">
        <f t="shared" ref="B184" si="57">VLOOKUP(A184, $L$113:$P$145, 3)</f>
        <v>-457.97718227945575</v>
      </c>
      <c r="C184" s="7">
        <f t="shared" si="28"/>
        <v>-184.86774200872708</v>
      </c>
    </row>
    <row r="185" spans="1:14" x14ac:dyDescent="0.25">
      <c r="A185" s="6" t="s">
        <v>21</v>
      </c>
      <c r="B185" s="4">
        <f t="shared" ref="B185" si="58">VLOOKUP(A185, $L$113:$P$145, 3)</f>
        <v>-956.11415414546036</v>
      </c>
      <c r="C185" s="7">
        <f t="shared" si="28"/>
        <v>254.57611243754775</v>
      </c>
    </row>
    <row r="186" spans="1:14" x14ac:dyDescent="0.25">
      <c r="A186" s="6" t="s">
        <v>15</v>
      </c>
      <c r="B186" s="4">
        <f t="shared" ref="B186" si="59">VLOOKUP(A186, $L$113:$P$145, 3)</f>
        <v>-79.513212314943644</v>
      </c>
      <c r="C186" s="7">
        <f t="shared" si="28"/>
        <v>254.57611243754775</v>
      </c>
    </row>
    <row r="187" spans="1:14" x14ac:dyDescent="0.25">
      <c r="A187" s="6" t="s">
        <v>4</v>
      </c>
      <c r="B187" s="4">
        <f t="shared" ref="B187" si="60">VLOOKUP(A187, $L$113:$P$145, 3)</f>
        <v>69.927879244857763</v>
      </c>
      <c r="C187" s="7">
        <f t="shared" si="28"/>
        <v>122.74295610366528</v>
      </c>
    </row>
    <row r="188" spans="1:14" x14ac:dyDescent="0.25">
      <c r="A188" s="6" t="s">
        <v>29</v>
      </c>
      <c r="B188" s="4">
        <f t="shared" ref="B188" si="61">VLOOKUP(A188, $L$113:$P$145, 3)</f>
        <v>654.32850713186895</v>
      </c>
      <c r="C188" s="7">
        <f t="shared" si="28"/>
        <v>122.74295610366528</v>
      </c>
    </row>
    <row r="189" spans="1:14" x14ac:dyDescent="0.25">
      <c r="A189" s="6" t="s">
        <v>9</v>
      </c>
      <c r="B189" s="4">
        <f t="shared" ref="B189" si="62">VLOOKUP(A189, $L$113:$P$145, 3)</f>
        <v>853.58329587827075</v>
      </c>
      <c r="C189" s="7">
        <f t="shared" si="28"/>
        <v>-53.034585674844635</v>
      </c>
    </row>
    <row r="190" spans="1:14" x14ac:dyDescent="0.25">
      <c r="A190" s="6" t="s">
        <v>10</v>
      </c>
      <c r="B190" s="4">
        <f t="shared" ref="B190" si="63">VLOOKUP(A190, $L$113:$P$145, 3)</f>
        <v>269.18266799125956</v>
      </c>
      <c r="C190" s="7">
        <f t="shared" si="28"/>
        <v>-53.034585674844635</v>
      </c>
    </row>
    <row r="191" spans="1:14" x14ac:dyDescent="0.25">
      <c r="A191" s="6" t="s">
        <v>6</v>
      </c>
      <c r="B191" s="4">
        <f t="shared" ref="B191" si="64">VLOOKUP(A191, $L$113:$P$145, 3)</f>
        <v>418.62375955106097</v>
      </c>
      <c r="C191" s="7">
        <f t="shared" si="28"/>
        <v>-184.86774200872708</v>
      </c>
    </row>
    <row r="192" spans="1:14" x14ac:dyDescent="0.25">
      <c r="A192" s="6"/>
      <c r="B192" s="4"/>
      <c r="C192" s="7"/>
    </row>
    <row r="193" spans="1:3" x14ac:dyDescent="0.25">
      <c r="A193" s="6" t="s">
        <v>7</v>
      </c>
      <c r="B193" s="4">
        <f t="shared" ref="B193" si="65">VLOOKUP(A193, $L$113:$P$145, 3)</f>
        <v>395.16864290475371</v>
      </c>
      <c r="C193" s="7">
        <f t="shared" si="28"/>
        <v>-219.72192722313738</v>
      </c>
    </row>
    <row r="194" spans="1:3" x14ac:dyDescent="0.25">
      <c r="A194" s="6" t="s">
        <v>16</v>
      </c>
      <c r="B194" s="4">
        <f t="shared" ref="B194" si="66">VLOOKUP(A194, $L$113:$P$145, 3)</f>
        <v>-189.23198498225742</v>
      </c>
      <c r="C194" s="7">
        <f t="shared" si="28"/>
        <v>-219.72192722313738</v>
      </c>
    </row>
    <row r="195" spans="1:3" x14ac:dyDescent="0.25">
      <c r="A195" s="6" t="s">
        <v>17</v>
      </c>
      <c r="B195" s="4">
        <f t="shared" ref="B195" si="67">VLOOKUP(A195, $L$113:$P$145, 3)</f>
        <v>-687.36895684826209</v>
      </c>
      <c r="C195" s="7">
        <f t="shared" si="28"/>
        <v>219.72192722313741</v>
      </c>
    </row>
    <row r="196" spans="1:3" x14ac:dyDescent="0.25">
      <c r="A196" s="6" t="s">
        <v>14</v>
      </c>
      <c r="B196" s="4">
        <f t="shared" ref="B196" si="68">VLOOKUP(A196, $L$113:$P$145, 3)</f>
        <v>-102.9683289612509</v>
      </c>
      <c r="C196" s="7">
        <f t="shared" si="28"/>
        <v>219.72192722313741</v>
      </c>
    </row>
    <row r="197" spans="1:3" x14ac:dyDescent="0.25">
      <c r="A197" s="6" t="s">
        <v>13</v>
      </c>
      <c r="B197" s="4">
        <f t="shared" ref="B197" si="69">VLOOKUP(A197, $L$113:$P$145, 3)</f>
        <v>46.472762598550503</v>
      </c>
      <c r="C197" s="7">
        <f t="shared" si="28"/>
        <v>87.888770889254943</v>
      </c>
    </row>
    <row r="198" spans="1:3" x14ac:dyDescent="0.25">
      <c r="A198" s="6" t="s">
        <v>12</v>
      </c>
      <c r="B198" s="4">
        <f t="shared" ref="B198" si="70">VLOOKUP(A198, $L$113:$P$145, 3)</f>
        <v>630.87339048556169</v>
      </c>
      <c r="C198" s="7">
        <f t="shared" si="28"/>
        <v>87.888770889254943</v>
      </c>
    </row>
    <row r="199" spans="1:3" x14ac:dyDescent="0.25">
      <c r="A199" s="6" t="s">
        <v>5</v>
      </c>
      <c r="B199" s="4">
        <f t="shared" ref="B199" si="71">VLOOKUP(A199, $L$113:$P$145, 3)</f>
        <v>830.12817923196349</v>
      </c>
      <c r="C199" s="7">
        <f t="shared" si="28"/>
        <v>-87.888770889254943</v>
      </c>
    </row>
    <row r="200" spans="1:3" x14ac:dyDescent="0.25">
      <c r="A200" s="6" t="s">
        <v>8</v>
      </c>
      <c r="B200" s="4">
        <f t="shared" ref="B200" si="72">VLOOKUP(A200, $L$113:$P$145, 3)</f>
        <v>245.72755134495242</v>
      </c>
      <c r="C200" s="7">
        <f t="shared" si="28"/>
        <v>-87.888770889254943</v>
      </c>
    </row>
    <row r="201" spans="1:3" x14ac:dyDescent="0.25">
      <c r="A201" s="6" t="s">
        <v>7</v>
      </c>
      <c r="B201" s="4">
        <f t="shared" ref="B201" si="73">VLOOKUP(A201, $L$113:$P$145, 3)</f>
        <v>395.16864290475371</v>
      </c>
      <c r="C201" s="7">
        <f t="shared" si="28"/>
        <v>-219.72192722313738</v>
      </c>
    </row>
    <row r="202" spans="1:3" x14ac:dyDescent="0.25">
      <c r="A202" s="6"/>
      <c r="B202" s="4"/>
      <c r="C202" s="7"/>
    </row>
    <row r="203" spans="1:3" x14ac:dyDescent="0.25">
      <c r="A203" s="6" t="s">
        <v>28</v>
      </c>
      <c r="B203" s="4">
        <f>VLOOKUP(A203, $L$113:$P$145, 3)</f>
        <v>-447.12456534442737</v>
      </c>
      <c r="C203" s="7">
        <f>VLOOKUP(A203, $L$113:$P$145, 2)</f>
        <v>-131.0798484806532</v>
      </c>
    </row>
    <row r="204" spans="1:3" x14ac:dyDescent="0.25">
      <c r="A204" s="6" t="s">
        <v>0</v>
      </c>
      <c r="B204" s="4">
        <f>VLOOKUP(A204, $L$113:$P$145, 3)</f>
        <v>-739.32487928793296</v>
      </c>
      <c r="C204" s="7">
        <f>VLOOKUP(A204, $L$113:$P$145, 2)</f>
        <v>-131.0798484806532</v>
      </c>
    </row>
    <row r="205" spans="1:3" x14ac:dyDescent="0.25">
      <c r="A205" s="6" t="s">
        <v>22</v>
      </c>
      <c r="B205" s="4">
        <f>VLOOKUP(A205, $L$113:$P$145, 3)</f>
        <v>-1038.2070624075357</v>
      </c>
      <c r="C205" s="7">
        <f>VLOOKUP(A205, $L$113:$P$145, 2)</f>
        <v>132.58646418711169</v>
      </c>
    </row>
    <row r="206" spans="1:3" x14ac:dyDescent="0.25">
      <c r="A206" s="6" t="s">
        <v>23</v>
      </c>
      <c r="B206" s="4">
        <f>VLOOKUP(A206, $L$113:$P$145, 3)</f>
        <v>-746.00674846403012</v>
      </c>
      <c r="C206" s="7">
        <f>VLOOKUP(A206, $L$113:$P$145, 2)</f>
        <v>132.58646418711169</v>
      </c>
    </row>
    <row r="207" spans="1:3" x14ac:dyDescent="0.25">
      <c r="A207" s="6" t="s">
        <v>28</v>
      </c>
      <c r="B207" s="4">
        <f>VLOOKUP(A207, $L$113:$P$145, 3)</f>
        <v>-447.12456534442737</v>
      </c>
      <c r="C207" s="7">
        <f>VLOOKUP(A207, $L$113:$P$145, 2)</f>
        <v>-131.0798484806532</v>
      </c>
    </row>
    <row r="208" spans="1:3" x14ac:dyDescent="0.25">
      <c r="A208" s="6"/>
      <c r="B208" s="4"/>
      <c r="C208" s="7"/>
    </row>
    <row r="209" spans="1:3" x14ac:dyDescent="0.25">
      <c r="A209" s="6" t="s">
        <v>24</v>
      </c>
      <c r="B209" s="4">
        <f>VLOOKUP(A209, $L$113:$P$145, 3)</f>
        <v>-283.0524515674864</v>
      </c>
      <c r="C209" s="7">
        <f>VLOOKUP(A209, $L$113:$P$145, 2)</f>
        <v>-359.13866808077864</v>
      </c>
    </row>
    <row r="210" spans="1:3" x14ac:dyDescent="0.25">
      <c r="A210" s="6" t="s">
        <v>25</v>
      </c>
      <c r="B210" s="4">
        <f>VLOOKUP(A210, $L$113:$P$145, 3)</f>
        <v>-575.25276551099194</v>
      </c>
      <c r="C210" s="7">
        <f>VLOOKUP(A210, $L$113:$P$145, 2)</f>
        <v>-359.13866808077864</v>
      </c>
    </row>
    <row r="211" spans="1:3" x14ac:dyDescent="0.25">
      <c r="A211" s="6" t="s">
        <v>26</v>
      </c>
      <c r="B211" s="4">
        <f>VLOOKUP(A211, $L$113:$P$145, 3)</f>
        <v>-774.50755425739385</v>
      </c>
      <c r="C211" s="7">
        <f>VLOOKUP(A211, $L$113:$P$145, 2)</f>
        <v>-183.36112630226867</v>
      </c>
    </row>
    <row r="212" spans="1:3" x14ac:dyDescent="0.25">
      <c r="A212" s="6" t="s">
        <v>27</v>
      </c>
      <c r="B212" s="4">
        <f>VLOOKUP(A212, $L$113:$P$145, 3)</f>
        <v>-482.30724031388826</v>
      </c>
      <c r="C212" s="7">
        <f>VLOOKUP(A212, $L$113:$P$145, 2)</f>
        <v>-183.36112630226867</v>
      </c>
    </row>
    <row r="213" spans="1:3" x14ac:dyDescent="0.25">
      <c r="A213" s="6" t="s">
        <v>24</v>
      </c>
      <c r="B213" s="4">
        <f>VLOOKUP(A213, $L$113:$P$145, 3)</f>
        <v>-283.0524515674864</v>
      </c>
      <c r="C213" s="7">
        <f>VLOOKUP(A213, $L$113:$P$145, 2)</f>
        <v>-359.13866808077864</v>
      </c>
    </row>
    <row r="214" spans="1:3" x14ac:dyDescent="0.25">
      <c r="A214" s="6"/>
      <c r="B214" s="4"/>
      <c r="C214" s="7"/>
    </row>
    <row r="215" spans="1:3" x14ac:dyDescent="0.25">
      <c r="A215" s="6" t="s">
        <v>1</v>
      </c>
      <c r="B215" s="4">
        <f>VLOOKUP(A215, $L$113:$P$145, 3)</f>
        <v>-269.81630992373493</v>
      </c>
      <c r="C215" s="7">
        <f>VLOOKUP(A215, $L$113:$P$145, 2)</f>
        <v>-162.51889535979873</v>
      </c>
    </row>
    <row r="216" spans="1:3" x14ac:dyDescent="0.25">
      <c r="A216" s="6" t="s">
        <v>2</v>
      </c>
      <c r="B216" s="4">
        <f>VLOOKUP(A216, $L$113:$P$145, 3)</f>
        <v>-310.86276405477258</v>
      </c>
      <c r="C216" s="7">
        <f>VLOOKUP(A216, $L$113:$P$145, 2)</f>
        <v>-223.51371948501679</v>
      </c>
    </row>
    <row r="217" spans="1:3" x14ac:dyDescent="0.25">
      <c r="A217" s="6" t="s">
        <v>32</v>
      </c>
      <c r="B217" s="4">
        <f>VLOOKUP(A217, $L$113:$P$145, 3)</f>
        <v>-485.21070420787419</v>
      </c>
      <c r="C217" s="7">
        <f>VLOOKUP(A217, $L$113:$P$145, 2)</f>
        <v>-69.708370428820587</v>
      </c>
    </row>
    <row r="218" spans="1:3" x14ac:dyDescent="0.25">
      <c r="A218" s="6"/>
      <c r="B218" s="4"/>
      <c r="C218" s="7"/>
    </row>
    <row r="219" spans="1:3" x14ac:dyDescent="0.25">
      <c r="A219" s="58" t="s">
        <v>30</v>
      </c>
      <c r="B219" s="4">
        <f>VLOOKUP(A219, $L$113:$P$145, 3)</f>
        <v>-356.26441402678921</v>
      </c>
      <c r="C219" s="7">
        <f>VLOOKUP(A219, $L$113:$P$145, 2)</f>
        <v>-114.02940980006267</v>
      </c>
    </row>
    <row r="220" spans="1:3" x14ac:dyDescent="0.25">
      <c r="A220" s="58" t="s">
        <v>31</v>
      </c>
      <c r="B220" s="4">
        <f>VLOOKUP(A220, $L$113:$P$145, 3)</f>
        <v>-426.62976396571094</v>
      </c>
      <c r="C220" s="7">
        <f>VLOOKUP(A220, $L$113:$P$145, 2)</f>
        <v>-218.59196544329359</v>
      </c>
    </row>
    <row r="221" spans="1:3" x14ac:dyDescent="0.25">
      <c r="A221" s="58"/>
      <c r="B221" s="4"/>
      <c r="C221" s="7"/>
    </row>
    <row r="222" spans="1:3" x14ac:dyDescent="0.25">
      <c r="A222" s="58" t="s">
        <v>34</v>
      </c>
      <c r="B222" s="4">
        <f>VLOOKUP(A222, $L$113:$P$145, 3)</f>
        <v>659.12117366691064</v>
      </c>
      <c r="C222" s="7">
        <f>VLOOKUP(A222, $L$113:$P$145, 2)</f>
        <v>-65.916578166941207</v>
      </c>
    </row>
    <row r="223" spans="1:3" x14ac:dyDescent="0.25">
      <c r="A223" s="58" t="s">
        <v>37</v>
      </c>
      <c r="B223" s="4">
        <f>VLOOKUP(A223, $L$113:$P$145, 3)</f>
        <v>-1.3642420526593924E-12</v>
      </c>
      <c r="C223" s="7">
        <f>VLOOKUP(A223, $L$113:$P$145, 2)</f>
        <v>2.8421709430404007E-14</v>
      </c>
    </row>
    <row r="224" spans="1:3" ht="13.8" thickBot="1" x14ac:dyDescent="0.3">
      <c r="A224" s="59" t="s">
        <v>38</v>
      </c>
      <c r="B224" s="8">
        <f>VLOOKUP(A224, $L$113:$P$145, 3)</f>
        <v>71.379611191850699</v>
      </c>
      <c r="C224" s="9">
        <f>VLOOKUP(A224, $L$113:$P$145, 2)</f>
        <v>65.916578166941264</v>
      </c>
    </row>
    <row r="226" spans="1:20" ht="13.8" thickBot="1" x14ac:dyDescent="0.3">
      <c r="A226" s="53" t="s">
        <v>68</v>
      </c>
      <c r="I226" t="s">
        <v>73</v>
      </c>
      <c r="J226" t="s">
        <v>74</v>
      </c>
      <c r="K226" t="s">
        <v>75</v>
      </c>
      <c r="L226" t="s">
        <v>4</v>
      </c>
      <c r="O226" t="s">
        <v>71</v>
      </c>
      <c r="P226" t="s">
        <v>72</v>
      </c>
      <c r="R226" t="s">
        <v>76</v>
      </c>
      <c r="S226" t="s">
        <v>71</v>
      </c>
      <c r="T226" t="s">
        <v>72</v>
      </c>
    </row>
    <row r="227" spans="1:20" ht="13.8" thickBot="1" x14ac:dyDescent="0.3">
      <c r="H227" s="54" t="s">
        <v>3</v>
      </c>
      <c r="I227" s="10">
        <f t="shared" ref="I227:I259" si="74">MMULT($M113:$P113,C$228:C$231)</f>
        <v>-184.86774200872708</v>
      </c>
      <c r="J227" s="10">
        <f t="shared" ref="J227:J259" si="75">MMULT($M113:$P113,D$228:D$231)</f>
        <v>-457.97718227945575</v>
      </c>
      <c r="K227" s="10">
        <f t="shared" ref="K227:K259" si="76">MMULT($M113:$P113,E$228:E$231)</f>
        <v>5240.3893766089523</v>
      </c>
      <c r="L227" s="11">
        <f t="shared" ref="L227:L259" si="77">MMULT($M113:$P113,F$228:F$231)</f>
        <v>11.480778753217905</v>
      </c>
      <c r="N227" s="54" t="s">
        <v>3</v>
      </c>
      <c r="O227" s="10">
        <f>I227/L227</f>
        <v>-16.102369532808144</v>
      </c>
      <c r="P227" s="11">
        <f>J227/L227</f>
        <v>-39.890776760338753</v>
      </c>
      <c r="R227" s="24" t="s">
        <v>3</v>
      </c>
      <c r="S227" s="10">
        <f>VLOOKUP(R227, $N$227:$O$302, 2)</f>
        <v>-16.102369532808144</v>
      </c>
      <c r="T227" s="11">
        <f>VLOOKUP(R227, $N$227:$P$302, 3)</f>
        <v>-39.890776760338753</v>
      </c>
    </row>
    <row r="228" spans="1:20" x14ac:dyDescent="0.25">
      <c r="A228" s="53" t="s">
        <v>69</v>
      </c>
      <c r="B228" s="53" t="s">
        <v>70</v>
      </c>
      <c r="C228" s="24">
        <v>1</v>
      </c>
      <c r="D228" s="10">
        <v>0</v>
      </c>
      <c r="E228" s="10">
        <v>0</v>
      </c>
      <c r="F228" s="11">
        <v>0</v>
      </c>
      <c r="G228" s="53" t="s">
        <v>66</v>
      </c>
      <c r="H228" s="12" t="s">
        <v>30</v>
      </c>
      <c r="I228" s="4">
        <f t="shared" si="74"/>
        <v>-114.02940980006267</v>
      </c>
      <c r="J228" s="4">
        <f t="shared" si="75"/>
        <v>-356.26441402678921</v>
      </c>
      <c r="K228" s="4">
        <f t="shared" si="76"/>
        <v>4610.1343143807508</v>
      </c>
      <c r="L228" s="7">
        <f t="shared" si="77"/>
        <v>10.220268628761502</v>
      </c>
      <c r="M228" t="s">
        <v>66</v>
      </c>
      <c r="N228" s="12" t="s">
        <v>30</v>
      </c>
      <c r="O228" s="4">
        <f t="shared" ref="O228:O259" si="78">I228/L228</f>
        <v>-11.157183234809045</v>
      </c>
      <c r="P228" s="7">
        <f t="shared" ref="P228:P259" si="79">J228/L228</f>
        <v>-34.858615459891439</v>
      </c>
      <c r="R228" s="6" t="s">
        <v>25</v>
      </c>
      <c r="S228" s="4">
        <f t="shared" ref="S228:S233" si="80">VLOOKUP(R228, $N$227:$O$302, 2)</f>
        <v>-31.642186672430181</v>
      </c>
      <c r="T228" s="7">
        <f t="shared" ref="T228:T233" si="81">VLOOKUP(R228, $N$227:$P$302, 3)</f>
        <v>-50.683084301121262</v>
      </c>
    </row>
    <row r="229" spans="1:20" x14ac:dyDescent="0.25">
      <c r="C229" s="6">
        <v>0</v>
      </c>
      <c r="D229" s="4">
        <v>1</v>
      </c>
      <c r="E229" s="4">
        <v>0</v>
      </c>
      <c r="F229" s="7">
        <v>0</v>
      </c>
      <c r="H229" s="12" t="s">
        <v>31</v>
      </c>
      <c r="I229" s="4">
        <f t="shared" si="74"/>
        <v>-218.59196544329359</v>
      </c>
      <c r="J229" s="4">
        <f t="shared" si="75"/>
        <v>-426.62976396571094</v>
      </c>
      <c r="K229" s="4">
        <f t="shared" si="76"/>
        <v>4570.8992600883284</v>
      </c>
      <c r="L229" s="7">
        <f t="shared" si="77"/>
        <v>10.141798520176657</v>
      </c>
      <c r="N229" s="12" t="s">
        <v>31</v>
      </c>
      <c r="O229" s="4">
        <f t="shared" si="78"/>
        <v>-21.553570109721132</v>
      </c>
      <c r="P229" s="7">
        <f t="shared" si="79"/>
        <v>-42.066479936172072</v>
      </c>
      <c r="R229" s="6" t="s">
        <v>26</v>
      </c>
      <c r="S229" s="4">
        <f t="shared" si="80"/>
        <v>-16.477766497386828</v>
      </c>
      <c r="T229" s="7">
        <f t="shared" si="81"/>
        <v>-69.601201120881157</v>
      </c>
    </row>
    <row r="230" spans="1:20" x14ac:dyDescent="0.25">
      <c r="C230" s="6">
        <v>0</v>
      </c>
      <c r="D230" s="4">
        <v>0</v>
      </c>
      <c r="E230" s="4">
        <v>1</v>
      </c>
      <c r="F230" s="61">
        <f>1/500</f>
        <v>2E-3</v>
      </c>
      <c r="H230" s="12" t="s">
        <v>32</v>
      </c>
      <c r="I230" s="4">
        <f t="shared" si="74"/>
        <v>-69.708370428820587</v>
      </c>
      <c r="J230" s="4">
        <f t="shared" si="75"/>
        <v>-485.21070420787419</v>
      </c>
      <c r="K230" s="4">
        <f t="shared" si="76"/>
        <v>4538.235081300083</v>
      </c>
      <c r="L230" s="7">
        <f t="shared" si="77"/>
        <v>10.076470162600167</v>
      </c>
      <c r="N230" s="12" t="s">
        <v>32</v>
      </c>
      <c r="O230" s="4">
        <f t="shared" si="78"/>
        <v>-6.9179354777975943</v>
      </c>
      <c r="P230" s="7">
        <f t="shared" si="79"/>
        <v>-48.152844833380499</v>
      </c>
      <c r="R230" s="6" t="s">
        <v>0</v>
      </c>
      <c r="S230" s="4">
        <f t="shared" si="80"/>
        <v>-11.738117098794062</v>
      </c>
      <c r="T230" s="7">
        <f t="shared" si="81"/>
        <v>-66.206072922142695</v>
      </c>
    </row>
    <row r="231" spans="1:20" ht="13.8" thickBot="1" x14ac:dyDescent="0.3">
      <c r="C231" s="28">
        <v>0</v>
      </c>
      <c r="D231" s="8">
        <v>0</v>
      </c>
      <c r="E231" s="8">
        <v>0</v>
      </c>
      <c r="F231" s="9">
        <v>1</v>
      </c>
      <c r="H231" s="12" t="s">
        <v>34</v>
      </c>
      <c r="I231" s="4">
        <f t="shared" si="74"/>
        <v>-65.916578166941207</v>
      </c>
      <c r="J231" s="4">
        <f t="shared" si="75"/>
        <v>659.12117366691064</v>
      </c>
      <c r="K231" s="4">
        <f t="shared" si="76"/>
        <v>2771.9117316296401</v>
      </c>
      <c r="L231" s="7">
        <f t="shared" si="77"/>
        <v>6.5438234632592804</v>
      </c>
      <c r="N231" s="12" t="s">
        <v>34</v>
      </c>
      <c r="O231" s="4">
        <f>I231/L231</f>
        <v>-10.073098477829374</v>
      </c>
      <c r="P231" s="7">
        <f t="shared" si="79"/>
        <v>100.72416796809833</v>
      </c>
      <c r="R231" s="6" t="s">
        <v>22</v>
      </c>
      <c r="S231" s="4">
        <f t="shared" si="80"/>
        <v>12.238316714298</v>
      </c>
      <c r="T231" s="7">
        <f t="shared" si="81"/>
        <v>-95.831101030292587</v>
      </c>
    </row>
    <row r="232" spans="1:20" x14ac:dyDescent="0.25">
      <c r="H232" s="12" t="s">
        <v>37</v>
      </c>
      <c r="I232" s="4">
        <f t="shared" si="74"/>
        <v>2.8421709430404007E-14</v>
      </c>
      <c r="J232" s="4">
        <f t="shared" si="75"/>
        <v>-1.3642420526593924E-12</v>
      </c>
      <c r="K232" s="4">
        <f t="shared" si="76"/>
        <v>3778.3302743576219</v>
      </c>
      <c r="L232" s="7">
        <f t="shared" si="77"/>
        <v>8.556660548715243</v>
      </c>
      <c r="N232" s="12" t="s">
        <v>37</v>
      </c>
      <c r="O232" s="4">
        <f t="shared" si="78"/>
        <v>3.321588985398216E-15</v>
      </c>
      <c r="P232" s="7">
        <f t="shared" si="79"/>
        <v>-1.5943627129911437E-13</v>
      </c>
      <c r="R232" s="6" t="s">
        <v>21</v>
      </c>
      <c r="S232" s="4">
        <f t="shared" si="80"/>
        <v>23.301594372296112</v>
      </c>
      <c r="T232" s="7">
        <f t="shared" si="81"/>
        <v>-87.514040418752813</v>
      </c>
    </row>
    <row r="233" spans="1:20" x14ac:dyDescent="0.25">
      <c r="H233" s="12" t="s">
        <v>38</v>
      </c>
      <c r="I233" s="4">
        <f t="shared" si="74"/>
        <v>65.916578166941264</v>
      </c>
      <c r="J233" s="4">
        <f t="shared" si="75"/>
        <v>71.379611191850699</v>
      </c>
      <c r="K233" s="4">
        <f t="shared" si="76"/>
        <v>3474.6463007454777</v>
      </c>
      <c r="L233" s="7">
        <f t="shared" si="77"/>
        <v>7.9492926014909555</v>
      </c>
      <c r="N233" s="12" t="s">
        <v>38</v>
      </c>
      <c r="O233" s="4">
        <f t="shared" si="78"/>
        <v>8.2921313217956101</v>
      </c>
      <c r="P233" s="7">
        <f t="shared" si="79"/>
        <v>8.9793664380227831</v>
      </c>
      <c r="R233" s="6" t="s">
        <v>3</v>
      </c>
      <c r="S233" s="4">
        <f t="shared" si="80"/>
        <v>-16.102369532808144</v>
      </c>
      <c r="T233" s="7">
        <f t="shared" si="81"/>
        <v>-39.890776760338753</v>
      </c>
    </row>
    <row r="234" spans="1:20" x14ac:dyDescent="0.25">
      <c r="H234" s="12" t="s">
        <v>39</v>
      </c>
      <c r="I234" s="4">
        <f t="shared" si="74"/>
        <v>80.305186365496183</v>
      </c>
      <c r="J234" s="4">
        <f t="shared" si="75"/>
        <v>-781.1894234334909</v>
      </c>
      <c r="K234" s="4">
        <f t="shared" si="76"/>
        <v>4373.2001439580708</v>
      </c>
      <c r="L234" s="7">
        <f t="shared" si="77"/>
        <v>9.746400287916142</v>
      </c>
      <c r="N234" s="12" t="s">
        <v>39</v>
      </c>
      <c r="O234" s="4">
        <f t="shared" si="78"/>
        <v>8.2394713938704918</v>
      </c>
      <c r="P234" s="7">
        <f t="shared" si="79"/>
        <v>-80.151584211252981</v>
      </c>
      <c r="R234" s="6"/>
      <c r="S234" s="4"/>
      <c r="T234" s="7"/>
    </row>
    <row r="235" spans="1:20" x14ac:dyDescent="0.25">
      <c r="H235" s="12" t="s">
        <v>6</v>
      </c>
      <c r="I235" s="4">
        <f t="shared" si="74"/>
        <v>-184.86774200872708</v>
      </c>
      <c r="J235" s="4">
        <f t="shared" si="75"/>
        <v>418.62375955106097</v>
      </c>
      <c r="K235" s="4">
        <f t="shared" si="76"/>
        <v>3668.2663570008008</v>
      </c>
      <c r="L235" s="7">
        <f t="shared" si="77"/>
        <v>8.3365327140016028</v>
      </c>
      <c r="N235" s="12" t="s">
        <v>6</v>
      </c>
      <c r="O235" s="4">
        <f t="shared" si="78"/>
        <v>-22.175615252877606</v>
      </c>
      <c r="P235" s="7">
        <f t="shared" si="79"/>
        <v>50.215572098453173</v>
      </c>
      <c r="R235" s="6" t="s">
        <v>16</v>
      </c>
      <c r="S235" s="4">
        <f t="shared" ref="S235:S241" si="82">VLOOKUP(R235, $N$227:$O$302, 2)</f>
        <v>-21.113830959754665</v>
      </c>
      <c r="T235" s="7">
        <f t="shared" ref="T235:T241" si="83">VLOOKUP(R235, $N$227:$P$302, 3)</f>
        <v>-18.183948200293628</v>
      </c>
    </row>
    <row r="236" spans="1:20" x14ac:dyDescent="0.25">
      <c r="H236" s="12" t="s">
        <v>7</v>
      </c>
      <c r="I236" s="4">
        <f t="shared" si="74"/>
        <v>-219.72192722313738</v>
      </c>
      <c r="J236" s="4">
        <f t="shared" si="75"/>
        <v>395.16864290475371</v>
      </c>
      <c r="K236" s="4">
        <f t="shared" si="76"/>
        <v>3655.1880055699935</v>
      </c>
      <c r="L236" s="7">
        <f t="shared" si="77"/>
        <v>8.3103760111399865</v>
      </c>
      <c r="N236" s="12" t="s">
        <v>7</v>
      </c>
      <c r="O236" s="4">
        <f t="shared" si="78"/>
        <v>-26.439468795226841</v>
      </c>
      <c r="P236" s="7">
        <f t="shared" si="79"/>
        <v>47.551235031367241</v>
      </c>
      <c r="R236" s="6" t="s">
        <v>24</v>
      </c>
      <c r="S236" s="4">
        <f t="shared" si="82"/>
        <v>-34.86135635272489</v>
      </c>
      <c r="T236" s="7">
        <f t="shared" si="83"/>
        <v>-27.475716923879371</v>
      </c>
    </row>
    <row r="237" spans="1:20" x14ac:dyDescent="0.25">
      <c r="H237" s="12" t="s">
        <v>8</v>
      </c>
      <c r="I237" s="4">
        <f t="shared" si="74"/>
        <v>-87.888770889254943</v>
      </c>
      <c r="J237" s="4">
        <f t="shared" si="75"/>
        <v>245.72755134495242</v>
      </c>
      <c r="K237" s="4">
        <f t="shared" si="76"/>
        <v>3571.8610648817557</v>
      </c>
      <c r="L237" s="7">
        <f t="shared" si="77"/>
        <v>8.1437221297635105</v>
      </c>
      <c r="N237" s="12" t="s">
        <v>8</v>
      </c>
      <c r="O237" s="4">
        <f t="shared" si="78"/>
        <v>-10.792211410067743</v>
      </c>
      <c r="P237" s="7">
        <f t="shared" si="79"/>
        <v>30.173862446371093</v>
      </c>
      <c r="R237" s="6" t="s">
        <v>27</v>
      </c>
      <c r="S237" s="4">
        <f t="shared" si="82"/>
        <v>-18.191114800204666</v>
      </c>
      <c r="T237" s="7">
        <f t="shared" si="83"/>
        <v>-47.849326378244911</v>
      </c>
    </row>
    <row r="238" spans="1:20" x14ac:dyDescent="0.25">
      <c r="H238" s="12" t="s">
        <v>5</v>
      </c>
      <c r="I238" s="4">
        <f t="shared" si="74"/>
        <v>-87.888770889254943</v>
      </c>
      <c r="J238" s="4">
        <f t="shared" si="75"/>
        <v>830.12817923196349</v>
      </c>
      <c r="K238" s="4">
        <f t="shared" si="76"/>
        <v>2523.7790518096549</v>
      </c>
      <c r="L238" s="7">
        <f t="shared" si="77"/>
        <v>6.04755810361931</v>
      </c>
      <c r="N238" s="12" t="s">
        <v>5</v>
      </c>
      <c r="O238" s="4">
        <f t="shared" si="78"/>
        <v>-14.5329353407379</v>
      </c>
      <c r="P238" s="7">
        <f t="shared" si="79"/>
        <v>137.26667276419434</v>
      </c>
      <c r="R238" s="6" t="s">
        <v>28</v>
      </c>
      <c r="S238" s="4">
        <f t="shared" si="82"/>
        <v>-12.953907055409983</v>
      </c>
      <c r="T238" s="7">
        <f t="shared" si="83"/>
        <v>-44.186884016097828</v>
      </c>
    </row>
    <row r="239" spans="1:20" x14ac:dyDescent="0.25">
      <c r="H239" s="12" t="s">
        <v>9</v>
      </c>
      <c r="I239" s="4">
        <f t="shared" si="74"/>
        <v>-53.034585674844635</v>
      </c>
      <c r="J239" s="4">
        <f t="shared" si="75"/>
        <v>853.58329587827075</v>
      </c>
      <c r="K239" s="4">
        <f t="shared" si="76"/>
        <v>2536.8574032404622</v>
      </c>
      <c r="L239" s="7">
        <f t="shared" si="77"/>
        <v>6.0737148064809245</v>
      </c>
      <c r="N239" s="12" t="s">
        <v>9</v>
      </c>
      <c r="O239" s="4">
        <f t="shared" si="78"/>
        <v>-8.7318202063512054</v>
      </c>
      <c r="P239" s="7">
        <f t="shared" si="79"/>
        <v>140.53726970641745</v>
      </c>
      <c r="R239" s="6" t="s">
        <v>23</v>
      </c>
      <c r="S239" s="4">
        <f t="shared" si="82"/>
        <v>13.54909104524098</v>
      </c>
      <c r="T239" s="7">
        <f t="shared" si="83"/>
        <v>-76.234881269922795</v>
      </c>
    </row>
    <row r="240" spans="1:20" x14ac:dyDescent="0.25">
      <c r="H240" s="12" t="s">
        <v>10</v>
      </c>
      <c r="I240" s="4">
        <f t="shared" si="74"/>
        <v>-53.034585674844635</v>
      </c>
      <c r="J240" s="4">
        <f t="shared" si="75"/>
        <v>269.18266799125956</v>
      </c>
      <c r="K240" s="4">
        <f t="shared" si="76"/>
        <v>3584.9394163125626</v>
      </c>
      <c r="L240" s="7">
        <f t="shared" si="77"/>
        <v>8.169878832625125</v>
      </c>
      <c r="N240" s="12" t="s">
        <v>10</v>
      </c>
      <c r="O240" s="4">
        <f t="shared" si="78"/>
        <v>-6.4914776291490845</v>
      </c>
      <c r="P240" s="7">
        <f t="shared" si="79"/>
        <v>32.948183627438993</v>
      </c>
      <c r="R240" s="6" t="s">
        <v>17</v>
      </c>
      <c r="S240" s="4">
        <f t="shared" si="82"/>
        <v>22.304468864708966</v>
      </c>
      <c r="T240" s="7">
        <f t="shared" si="83"/>
        <v>-69.776374576488308</v>
      </c>
    </row>
    <row r="241" spans="8:20" x14ac:dyDescent="0.25">
      <c r="H241" s="12" t="s">
        <v>4</v>
      </c>
      <c r="I241" s="4">
        <f t="shared" si="74"/>
        <v>122.74295610366528</v>
      </c>
      <c r="J241" s="4">
        <f t="shared" si="75"/>
        <v>69.927879244857763</v>
      </c>
      <c r="K241" s="4">
        <f t="shared" si="76"/>
        <v>3473.8368287282456</v>
      </c>
      <c r="L241" s="7">
        <f t="shared" si="77"/>
        <v>7.947673657456491</v>
      </c>
      <c r="N241" s="12" t="s">
        <v>4</v>
      </c>
      <c r="O241" s="4">
        <f t="shared" si="78"/>
        <v>15.443884763500334</v>
      </c>
      <c r="P241" s="7">
        <f t="shared" si="79"/>
        <v>8.7985342955358483</v>
      </c>
      <c r="R241" s="6" t="s">
        <v>16</v>
      </c>
      <c r="S241" s="4">
        <f t="shared" si="82"/>
        <v>-21.113830959754665</v>
      </c>
      <c r="T241" s="7">
        <f t="shared" si="83"/>
        <v>-18.183948200293628</v>
      </c>
    </row>
    <row r="242" spans="8:20" x14ac:dyDescent="0.25">
      <c r="H242" s="12" t="s">
        <v>11</v>
      </c>
      <c r="I242" s="4">
        <f t="shared" si="74"/>
        <v>122.74295610366528</v>
      </c>
      <c r="J242" s="4">
        <f t="shared" si="75"/>
        <v>654.32850713186895</v>
      </c>
      <c r="K242" s="4">
        <f t="shared" si="76"/>
        <v>2425.7548156561447</v>
      </c>
      <c r="L242" s="7">
        <f t="shared" si="77"/>
        <v>5.8515096313122896</v>
      </c>
      <c r="N242" s="12" t="s">
        <v>11</v>
      </c>
      <c r="O242" s="4">
        <f t="shared" si="78"/>
        <v>20.976288827561635</v>
      </c>
      <c r="P242" s="7">
        <f t="shared" si="79"/>
        <v>111.8221704071819</v>
      </c>
      <c r="R242" s="6"/>
      <c r="S242" s="4"/>
      <c r="T242" s="7"/>
    </row>
    <row r="243" spans="8:20" x14ac:dyDescent="0.25">
      <c r="H243" s="12" t="s">
        <v>12</v>
      </c>
      <c r="I243" s="4">
        <f t="shared" si="74"/>
        <v>87.888770889254943</v>
      </c>
      <c r="J243" s="4">
        <f t="shared" si="75"/>
        <v>630.87339048556169</v>
      </c>
      <c r="K243" s="4">
        <f t="shared" si="76"/>
        <v>2412.6764642253374</v>
      </c>
      <c r="L243" s="7">
        <f t="shared" si="77"/>
        <v>5.8253529284506751</v>
      </c>
      <c r="N243" s="12" t="s">
        <v>12</v>
      </c>
      <c r="O243" s="4">
        <f t="shared" si="78"/>
        <v>15.087286893814012</v>
      </c>
      <c r="P243" s="7">
        <f t="shared" si="79"/>
        <v>108.29788310411439</v>
      </c>
      <c r="R243" s="6" t="s">
        <v>6</v>
      </c>
      <c r="S243" s="4">
        <f>VLOOKUP(R243, $N$227:$O$302, 2)</f>
        <v>-22.175615252877606</v>
      </c>
      <c r="T243" s="7">
        <f>VLOOKUP(R243, $N$227:$P$302, 3)</f>
        <v>50.215572098453173</v>
      </c>
    </row>
    <row r="244" spans="8:20" x14ac:dyDescent="0.25">
      <c r="H244" s="12" t="s">
        <v>13</v>
      </c>
      <c r="I244" s="4">
        <f t="shared" si="74"/>
        <v>87.888770889254943</v>
      </c>
      <c r="J244" s="4">
        <f t="shared" si="75"/>
        <v>46.472762598550503</v>
      </c>
      <c r="K244" s="4">
        <f t="shared" si="76"/>
        <v>3460.7584772974378</v>
      </c>
      <c r="L244" s="7">
        <f t="shared" si="77"/>
        <v>7.9215169545948756</v>
      </c>
      <c r="N244" s="12" t="s">
        <v>13</v>
      </c>
      <c r="O244" s="4">
        <f t="shared" si="78"/>
        <v>11.094941965411696</v>
      </c>
      <c r="P244" s="7">
        <f t="shared" si="79"/>
        <v>5.8666493886116067</v>
      </c>
      <c r="R244" s="6" t="s">
        <v>7</v>
      </c>
      <c r="S244" s="4">
        <f>VLOOKUP(R244, $N$227:$O$302, 2)</f>
        <v>-26.439468795226841</v>
      </c>
      <c r="T244" s="7">
        <f>VLOOKUP(R244, $N$227:$P$302, 3)</f>
        <v>47.551235031367241</v>
      </c>
    </row>
    <row r="245" spans="8:20" x14ac:dyDescent="0.25">
      <c r="H245" s="12" t="s">
        <v>14</v>
      </c>
      <c r="I245" s="4">
        <f t="shared" si="74"/>
        <v>219.72192722313741</v>
      </c>
      <c r="J245" s="4">
        <f t="shared" si="75"/>
        <v>-102.9683289612509</v>
      </c>
      <c r="K245" s="4">
        <f t="shared" si="76"/>
        <v>3377.4315366091996</v>
      </c>
      <c r="L245" s="7">
        <f t="shared" si="77"/>
        <v>7.7548630732183996</v>
      </c>
      <c r="N245" s="12" t="s">
        <v>14</v>
      </c>
      <c r="O245" s="4">
        <f t="shared" si="78"/>
        <v>28.33343737324676</v>
      </c>
      <c r="P245" s="7">
        <f t="shared" si="79"/>
        <v>-13.277904198831624</v>
      </c>
      <c r="R245" s="6" t="s">
        <v>8</v>
      </c>
      <c r="S245" s="4">
        <f>VLOOKUP(R245, $N$227:$O$302, 2)</f>
        <v>-10.792211410067743</v>
      </c>
      <c r="T245" s="7">
        <f>VLOOKUP(R245, $N$227:$P$302, 3)</f>
        <v>30.173862446371093</v>
      </c>
    </row>
    <row r="246" spans="8:20" x14ac:dyDescent="0.25">
      <c r="H246" s="12" t="s">
        <v>15</v>
      </c>
      <c r="I246" s="4">
        <f t="shared" si="74"/>
        <v>254.57611243754775</v>
      </c>
      <c r="J246" s="4">
        <f t="shared" si="75"/>
        <v>-79.513212314943644</v>
      </c>
      <c r="K246" s="4">
        <f t="shared" si="76"/>
        <v>3390.5098880400074</v>
      </c>
      <c r="L246" s="7">
        <f t="shared" si="77"/>
        <v>7.781019776080015</v>
      </c>
      <c r="N246" s="12" t="s">
        <v>15</v>
      </c>
      <c r="O246" s="4">
        <f t="shared" si="78"/>
        <v>32.717576842581956</v>
      </c>
      <c r="P246" s="7">
        <f t="shared" si="79"/>
        <v>-10.218867783806283</v>
      </c>
      <c r="R246" s="6" t="s">
        <v>10</v>
      </c>
      <c r="S246" s="4">
        <f>VLOOKUP(R246, $N$227:$O$302, 2)</f>
        <v>-6.4914776291490845</v>
      </c>
      <c r="T246" s="7">
        <f>VLOOKUP(R246, $N$227:$P$302, 3)</f>
        <v>32.948183627438993</v>
      </c>
    </row>
    <row r="247" spans="8:20" x14ac:dyDescent="0.25">
      <c r="H247" s="12" t="s">
        <v>21</v>
      </c>
      <c r="I247" s="4">
        <f t="shared" si="74"/>
        <v>254.57611243754775</v>
      </c>
      <c r="J247" s="4">
        <f t="shared" si="75"/>
        <v>-956.11415414546036</v>
      </c>
      <c r="K247" s="4">
        <f t="shared" si="76"/>
        <v>4962.6329076481588</v>
      </c>
      <c r="L247" s="7">
        <f t="shared" si="77"/>
        <v>10.925265815296317</v>
      </c>
      <c r="N247" s="12" t="s">
        <v>21</v>
      </c>
      <c r="O247" s="4">
        <f t="shared" si="78"/>
        <v>23.301594372296112</v>
      </c>
      <c r="P247" s="7">
        <f t="shared" si="79"/>
        <v>-87.514040418752813</v>
      </c>
      <c r="R247" s="6" t="s">
        <v>6</v>
      </c>
      <c r="S247" s="4">
        <f>VLOOKUP(R247, $N$227:$O$302, 2)</f>
        <v>-22.175615252877606</v>
      </c>
      <c r="T247" s="7">
        <f>VLOOKUP(R247, $N$227:$P$302, 3)</f>
        <v>50.215572098453173</v>
      </c>
    </row>
    <row r="248" spans="8:20" x14ac:dyDescent="0.25">
      <c r="H248" s="12" t="s">
        <v>22</v>
      </c>
      <c r="I248" s="4">
        <f t="shared" si="74"/>
        <v>132.58646418711169</v>
      </c>
      <c r="J248" s="4">
        <f t="shared" si="75"/>
        <v>-1038.2070624075357</v>
      </c>
      <c r="K248" s="4">
        <f t="shared" si="76"/>
        <v>4916.8586776403326</v>
      </c>
      <c r="L248" s="7">
        <f t="shared" si="77"/>
        <v>10.833717355280665</v>
      </c>
      <c r="N248" s="12" t="s">
        <v>22</v>
      </c>
      <c r="O248" s="4">
        <f t="shared" si="78"/>
        <v>12.238316714298</v>
      </c>
      <c r="P248" s="7">
        <f t="shared" si="79"/>
        <v>-95.831101030292587</v>
      </c>
      <c r="R248" s="6"/>
      <c r="S248" s="4"/>
      <c r="T248" s="7"/>
    </row>
    <row r="249" spans="8:20" x14ac:dyDescent="0.25">
      <c r="H249" s="12" t="s">
        <v>23</v>
      </c>
      <c r="I249" s="4">
        <f t="shared" si="74"/>
        <v>132.58646418711169</v>
      </c>
      <c r="J249" s="4">
        <f t="shared" si="75"/>
        <v>-746.00674846403012</v>
      </c>
      <c r="K249" s="4">
        <f t="shared" si="76"/>
        <v>4392.8176711042815</v>
      </c>
      <c r="L249" s="7">
        <f t="shared" si="77"/>
        <v>9.7856353422085629</v>
      </c>
      <c r="N249" s="12" t="s">
        <v>23</v>
      </c>
      <c r="O249" s="4">
        <f t="shared" si="78"/>
        <v>13.54909104524098</v>
      </c>
      <c r="P249" s="7">
        <f t="shared" si="79"/>
        <v>-76.234881269922795</v>
      </c>
      <c r="R249" s="6" t="s">
        <v>13</v>
      </c>
      <c r="S249" s="4">
        <f t="shared" ref="S249:S254" si="84">VLOOKUP(R249, $N$227:$O$302, 2)</f>
        <v>11.094941965411696</v>
      </c>
      <c r="T249" s="7">
        <f t="shared" ref="T249:T254" si="85">VLOOKUP(R249, $N$227:$P$302, 3)</f>
        <v>5.8666493886116067</v>
      </c>
    </row>
    <row r="250" spans="8:20" x14ac:dyDescent="0.25">
      <c r="H250" s="12" t="s">
        <v>17</v>
      </c>
      <c r="I250" s="4">
        <f t="shared" si="74"/>
        <v>219.72192722313741</v>
      </c>
      <c r="J250" s="4">
        <f t="shared" si="75"/>
        <v>-687.36895684826209</v>
      </c>
      <c r="K250" s="4">
        <f t="shared" si="76"/>
        <v>4425.5135496813009</v>
      </c>
      <c r="L250" s="7">
        <f t="shared" si="77"/>
        <v>9.8510270993626019</v>
      </c>
      <c r="N250" s="12" t="s">
        <v>17</v>
      </c>
      <c r="O250" s="4">
        <f t="shared" si="78"/>
        <v>22.304468864708966</v>
      </c>
      <c r="P250" s="7">
        <f t="shared" si="79"/>
        <v>-69.776374576488308</v>
      </c>
      <c r="R250" s="6" t="s">
        <v>14</v>
      </c>
      <c r="S250" s="4">
        <f t="shared" si="84"/>
        <v>28.33343737324676</v>
      </c>
      <c r="T250" s="7">
        <f t="shared" si="85"/>
        <v>-13.277904198831624</v>
      </c>
    </row>
    <row r="251" spans="8:20" x14ac:dyDescent="0.25">
      <c r="H251" s="12" t="s">
        <v>16</v>
      </c>
      <c r="I251" s="4">
        <f t="shared" si="74"/>
        <v>-219.72192722313738</v>
      </c>
      <c r="J251" s="4">
        <f t="shared" si="75"/>
        <v>-189.23198498225742</v>
      </c>
      <c r="K251" s="4">
        <f t="shared" si="76"/>
        <v>4703.2700186420943</v>
      </c>
      <c r="L251" s="7">
        <f t="shared" si="77"/>
        <v>10.40654003728419</v>
      </c>
      <c r="N251" s="12" t="s">
        <v>16</v>
      </c>
      <c r="O251" s="4">
        <f t="shared" si="78"/>
        <v>-21.113830959754665</v>
      </c>
      <c r="P251" s="7">
        <f t="shared" si="79"/>
        <v>-18.183948200293628</v>
      </c>
      <c r="R251" s="6" t="s">
        <v>15</v>
      </c>
      <c r="S251" s="4">
        <f t="shared" si="84"/>
        <v>32.717576842581956</v>
      </c>
      <c r="T251" s="7">
        <f t="shared" si="85"/>
        <v>-10.218867783806283</v>
      </c>
    </row>
    <row r="252" spans="8:20" x14ac:dyDescent="0.25">
      <c r="H252" s="12" t="s">
        <v>24</v>
      </c>
      <c r="I252" s="4">
        <f t="shared" si="74"/>
        <v>-359.13866808077864</v>
      </c>
      <c r="J252" s="4">
        <f t="shared" si="75"/>
        <v>-283.0524515674864</v>
      </c>
      <c r="K252" s="4">
        <f t="shared" si="76"/>
        <v>4650.9566129188643</v>
      </c>
      <c r="L252" s="7">
        <f t="shared" si="77"/>
        <v>10.301913225837728</v>
      </c>
      <c r="N252" s="12" t="s">
        <v>24</v>
      </c>
      <c r="O252" s="4">
        <f t="shared" si="78"/>
        <v>-34.86135635272489</v>
      </c>
      <c r="P252" s="7">
        <f t="shared" si="79"/>
        <v>-27.475716923879371</v>
      </c>
      <c r="R252" s="6" t="s">
        <v>4</v>
      </c>
      <c r="S252" s="4">
        <f t="shared" si="84"/>
        <v>15.443884763500334</v>
      </c>
      <c r="T252" s="7">
        <f t="shared" si="85"/>
        <v>8.7985342955358483</v>
      </c>
    </row>
    <row r="253" spans="8:20" x14ac:dyDescent="0.25">
      <c r="H253" s="12" t="s">
        <v>25</v>
      </c>
      <c r="I253" s="4">
        <f t="shared" si="74"/>
        <v>-359.13866808077864</v>
      </c>
      <c r="J253" s="4">
        <f t="shared" si="75"/>
        <v>-575.25276551099194</v>
      </c>
      <c r="K253" s="4">
        <f t="shared" si="76"/>
        <v>5174.9976194549154</v>
      </c>
      <c r="L253" s="7">
        <f t="shared" si="77"/>
        <v>11.34999523890983</v>
      </c>
      <c r="N253" s="12" t="s">
        <v>25</v>
      </c>
      <c r="O253" s="4">
        <f t="shared" si="78"/>
        <v>-31.642186672430181</v>
      </c>
      <c r="P253" s="7">
        <f t="shared" si="79"/>
        <v>-50.683084301121262</v>
      </c>
      <c r="R253" s="6" t="s">
        <v>13</v>
      </c>
      <c r="S253" s="4">
        <f t="shared" si="84"/>
        <v>11.094941965411696</v>
      </c>
      <c r="T253" s="7">
        <f t="shared" si="85"/>
        <v>5.8666493886116067</v>
      </c>
    </row>
    <row r="254" spans="8:20" x14ac:dyDescent="0.25">
      <c r="H254" s="12" t="s">
        <v>26</v>
      </c>
      <c r="I254" s="4">
        <f t="shared" si="74"/>
        <v>-183.36112630226867</v>
      </c>
      <c r="J254" s="4">
        <f t="shared" si="75"/>
        <v>-774.50755425739385</v>
      </c>
      <c r="K254" s="4">
        <f t="shared" si="76"/>
        <v>5063.8950318705974</v>
      </c>
      <c r="L254" s="7">
        <f t="shared" si="77"/>
        <v>11.127790063741195</v>
      </c>
      <c r="N254" s="12" t="s">
        <v>26</v>
      </c>
      <c r="O254" s="4">
        <f t="shared" si="78"/>
        <v>-16.477766497386828</v>
      </c>
      <c r="P254" s="7">
        <f t="shared" si="79"/>
        <v>-69.601201120881157</v>
      </c>
      <c r="R254" s="6"/>
      <c r="S254" s="4"/>
      <c r="T254" s="7"/>
    </row>
    <row r="255" spans="8:20" x14ac:dyDescent="0.25">
      <c r="H255" s="12" t="s">
        <v>27</v>
      </c>
      <c r="I255" s="4">
        <f t="shared" si="74"/>
        <v>-183.36112630226867</v>
      </c>
      <c r="J255" s="4">
        <f t="shared" si="75"/>
        <v>-482.30724031388826</v>
      </c>
      <c r="K255" s="4">
        <f t="shared" si="76"/>
        <v>4539.8540253345473</v>
      </c>
      <c r="L255" s="7">
        <f t="shared" si="77"/>
        <v>10.079708050669094</v>
      </c>
      <c r="N255" s="12" t="s">
        <v>27</v>
      </c>
      <c r="O255" s="4">
        <f t="shared" si="78"/>
        <v>-18.191114800204666</v>
      </c>
      <c r="P255" s="7">
        <f t="shared" si="79"/>
        <v>-47.849326378244911</v>
      </c>
      <c r="R255" s="6" t="s">
        <v>12</v>
      </c>
      <c r="S255" s="4">
        <f>VLOOKUP(R255, $N$227:$O$302, 2)</f>
        <v>15.087286893814012</v>
      </c>
      <c r="T255" s="7">
        <f>VLOOKUP(R255, $N$227:$P$302, 3)</f>
        <v>108.29788310411439</v>
      </c>
    </row>
    <row r="256" spans="8:20" x14ac:dyDescent="0.25">
      <c r="H256" s="12" t="s">
        <v>28</v>
      </c>
      <c r="I256" s="4">
        <f t="shared" si="74"/>
        <v>-131.0798484806532</v>
      </c>
      <c r="J256" s="4">
        <f t="shared" si="75"/>
        <v>-447.12456534442737</v>
      </c>
      <c r="K256" s="4">
        <f t="shared" si="76"/>
        <v>4559.471552480758</v>
      </c>
      <c r="L256" s="7">
        <f t="shared" si="77"/>
        <v>10.118943104961517</v>
      </c>
      <c r="N256" s="12" t="s">
        <v>28</v>
      </c>
      <c r="O256" s="4">
        <f t="shared" si="78"/>
        <v>-12.953907055409983</v>
      </c>
      <c r="P256" s="7">
        <f t="shared" si="79"/>
        <v>-44.186884016097828</v>
      </c>
      <c r="R256" s="6" t="s">
        <v>29</v>
      </c>
      <c r="S256" s="4">
        <f>VLOOKUP(R256, $N$227:$O$302, 2)</f>
        <v>20.976288827561635</v>
      </c>
      <c r="T256" s="7">
        <f>VLOOKUP(R256, $N$227:$P$302, 3)</f>
        <v>111.8221704071819</v>
      </c>
    </row>
    <row r="257" spans="8:20" x14ac:dyDescent="0.25">
      <c r="H257" s="12" t="s">
        <v>0</v>
      </c>
      <c r="I257" s="4">
        <f t="shared" si="74"/>
        <v>-131.0798484806532</v>
      </c>
      <c r="J257" s="4">
        <f t="shared" si="75"/>
        <v>-739.32487928793296</v>
      </c>
      <c r="K257" s="4">
        <f t="shared" si="76"/>
        <v>5083.5125590168091</v>
      </c>
      <c r="L257" s="7">
        <f t="shared" si="77"/>
        <v>11.167025118033619</v>
      </c>
      <c r="N257" s="12" t="s">
        <v>0</v>
      </c>
      <c r="O257" s="4">
        <f t="shared" si="78"/>
        <v>-11.738117098794062</v>
      </c>
      <c r="P257" s="7">
        <f t="shared" si="79"/>
        <v>-66.206072922142695</v>
      </c>
      <c r="R257" s="6" t="s">
        <v>9</v>
      </c>
      <c r="S257" s="4">
        <f>VLOOKUP(R257, $N$227:$O$302, 2)</f>
        <v>-8.7318202063512054</v>
      </c>
      <c r="T257" s="7">
        <f>VLOOKUP(R257, $N$227:$P$302, 3)</f>
        <v>140.53726970641745</v>
      </c>
    </row>
    <row r="258" spans="8:20" x14ac:dyDescent="0.25">
      <c r="H258" s="12" t="s">
        <v>1</v>
      </c>
      <c r="I258" s="4">
        <f t="shared" si="74"/>
        <v>-162.51889535979873</v>
      </c>
      <c r="J258" s="4">
        <f t="shared" si="75"/>
        <v>-269.81630992373493</v>
      </c>
      <c r="K258" s="4">
        <f t="shared" si="76"/>
        <v>4658.3369604402733</v>
      </c>
      <c r="L258" s="7">
        <f t="shared" si="77"/>
        <v>10.316673920880547</v>
      </c>
      <c r="N258" s="12" t="s">
        <v>1</v>
      </c>
      <c r="O258" s="4">
        <f t="shared" si="78"/>
        <v>-15.753032092142295</v>
      </c>
      <c r="P258" s="7">
        <f t="shared" si="79"/>
        <v>-26.153420374917271</v>
      </c>
      <c r="R258" s="6" t="s">
        <v>5</v>
      </c>
      <c r="S258" s="4">
        <f>VLOOKUP(R258, $N$227:$O$302, 2)</f>
        <v>-14.5329353407379</v>
      </c>
      <c r="T258" s="7">
        <f>VLOOKUP(R258, $N$227:$P$302, 3)</f>
        <v>137.26667276419434</v>
      </c>
    </row>
    <row r="259" spans="8:20" ht="13.8" thickBot="1" x14ac:dyDescent="0.3">
      <c r="H259" s="55" t="s">
        <v>2</v>
      </c>
      <c r="I259" s="8">
        <f t="shared" si="74"/>
        <v>-223.51371948501679</v>
      </c>
      <c r="J259" s="8">
        <f t="shared" si="75"/>
        <v>-310.86276405477258</v>
      </c>
      <c r="K259" s="8">
        <f t="shared" si="76"/>
        <v>4635.4498454363602</v>
      </c>
      <c r="L259" s="9">
        <f t="shared" si="77"/>
        <v>10.270899690872721</v>
      </c>
      <c r="N259" s="55" t="s">
        <v>2</v>
      </c>
      <c r="O259" s="8">
        <f t="shared" si="78"/>
        <v>-21.761844260210545</v>
      </c>
      <c r="P259" s="9">
        <f t="shared" si="79"/>
        <v>-30.266361605207976</v>
      </c>
      <c r="R259" s="6" t="s">
        <v>12</v>
      </c>
      <c r="S259" s="4">
        <f>VLOOKUP(R259, $N$227:$O$302, 2)</f>
        <v>15.087286893814012</v>
      </c>
      <c r="T259" s="7">
        <f>VLOOKUP(R259, $N$227:$P$302, 3)</f>
        <v>108.29788310411439</v>
      </c>
    </row>
    <row r="260" spans="8:20" x14ac:dyDescent="0.25">
      <c r="R260" s="6"/>
      <c r="S260" s="4"/>
      <c r="T260" s="7"/>
    </row>
    <row r="261" spans="8:20" x14ac:dyDescent="0.25">
      <c r="R261" s="6" t="s">
        <v>6</v>
      </c>
      <c r="S261" s="4">
        <f>VLOOKUP(R261, $N$227:$O$302, 2)</f>
        <v>-22.175615252877606</v>
      </c>
      <c r="T261" s="7">
        <f>VLOOKUP(R261, $N$227:$P$302, 3)</f>
        <v>50.215572098453173</v>
      </c>
    </row>
    <row r="262" spans="8:20" x14ac:dyDescent="0.25">
      <c r="R262" s="6" t="s">
        <v>3</v>
      </c>
      <c r="S262" s="4">
        <f>VLOOKUP(R262, $N$227:$O$302, 2)</f>
        <v>-16.102369532808144</v>
      </c>
      <c r="T262" s="7">
        <f>VLOOKUP(R262, $N$227:$P$302, 3)</f>
        <v>-39.890776760338753</v>
      </c>
    </row>
    <row r="263" spans="8:20" x14ac:dyDescent="0.25">
      <c r="R263" s="6" t="s">
        <v>21</v>
      </c>
      <c r="S263" s="4">
        <f>VLOOKUP(R263, $N$227:$O$302, 2)</f>
        <v>23.301594372296112</v>
      </c>
      <c r="T263" s="7">
        <f>VLOOKUP(R263, $N$227:$P$302, 3)</f>
        <v>-87.514040418752813</v>
      </c>
    </row>
    <row r="264" spans="8:20" x14ac:dyDescent="0.25">
      <c r="R264" s="6" t="s">
        <v>15</v>
      </c>
      <c r="S264" s="4">
        <f>VLOOKUP(R264, $N$227:$O$302, 2)</f>
        <v>32.717576842581956</v>
      </c>
      <c r="T264" s="7">
        <f>VLOOKUP(R264, $N$227:$P$302, 3)</f>
        <v>-10.218867783806283</v>
      </c>
    </row>
    <row r="265" spans="8:20" x14ac:dyDescent="0.25">
      <c r="R265" s="6" t="s">
        <v>4</v>
      </c>
      <c r="S265" s="4">
        <f>VLOOKUP(R265, $N$227:$O$302, 2)</f>
        <v>15.443884763500334</v>
      </c>
      <c r="T265" s="7">
        <f>VLOOKUP(R265, $N$227:$P$302, 3)</f>
        <v>8.7985342955358483</v>
      </c>
    </row>
    <row r="266" spans="8:20" x14ac:dyDescent="0.25">
      <c r="R266" s="6" t="s">
        <v>29</v>
      </c>
      <c r="S266" s="4">
        <f>VLOOKUP(R266, $N$227:$O$302, 2)</f>
        <v>20.976288827561635</v>
      </c>
      <c r="T266" s="7">
        <f>VLOOKUP(R266, $N$227:$P$302, 3)</f>
        <v>111.8221704071819</v>
      </c>
    </row>
    <row r="267" spans="8:20" x14ac:dyDescent="0.25">
      <c r="R267" s="6" t="s">
        <v>9</v>
      </c>
      <c r="S267" s="4">
        <f>VLOOKUP(R267, $N$227:$O$302, 2)</f>
        <v>-8.7318202063512054</v>
      </c>
      <c r="T267" s="7">
        <f>VLOOKUP(R267, $N$227:$P$302, 3)</f>
        <v>140.53726970641745</v>
      </c>
    </row>
    <row r="268" spans="8:20" x14ac:dyDescent="0.25">
      <c r="R268" s="6" t="s">
        <v>10</v>
      </c>
      <c r="S268" s="4">
        <f>VLOOKUP(R268, $N$227:$O$302, 2)</f>
        <v>-6.4914776291490845</v>
      </c>
      <c r="T268" s="7">
        <f>VLOOKUP(R268, $N$227:$P$302, 3)</f>
        <v>32.948183627438993</v>
      </c>
    </row>
    <row r="269" spans="8:20" x14ac:dyDescent="0.25">
      <c r="R269" s="6" t="s">
        <v>6</v>
      </c>
      <c r="S269" s="4">
        <f>VLOOKUP(R269, $N$227:$O$302, 2)</f>
        <v>-22.175615252877606</v>
      </c>
      <c r="T269" s="7">
        <f>VLOOKUP(R269, $N$227:$P$302, 3)</f>
        <v>50.215572098453173</v>
      </c>
    </row>
    <row r="270" spans="8:20" x14ac:dyDescent="0.25">
      <c r="R270" s="6"/>
      <c r="S270" s="4"/>
      <c r="T270" s="7"/>
    </row>
    <row r="271" spans="8:20" x14ac:dyDescent="0.25">
      <c r="R271" s="6" t="s">
        <v>7</v>
      </c>
      <c r="S271" s="4">
        <f>VLOOKUP(R271, $N$227:$O$302, 2)</f>
        <v>-26.439468795226841</v>
      </c>
      <c r="T271" s="7">
        <f>VLOOKUP(R271, $N$227:$P$302, 3)</f>
        <v>47.551235031367241</v>
      </c>
    </row>
    <row r="272" spans="8:20" x14ac:dyDescent="0.25">
      <c r="R272" s="6" t="s">
        <v>16</v>
      </c>
      <c r="S272" s="4">
        <f>VLOOKUP(R272, $N$227:$O$302, 2)</f>
        <v>-21.113830959754665</v>
      </c>
      <c r="T272" s="7">
        <f>VLOOKUP(R272, $N$227:$P$302, 3)</f>
        <v>-18.183948200293628</v>
      </c>
    </row>
    <row r="273" spans="18:20" x14ac:dyDescent="0.25">
      <c r="R273" s="6" t="s">
        <v>17</v>
      </c>
      <c r="S273" s="4">
        <f>VLOOKUP(R273, $N$227:$O$302, 2)</f>
        <v>22.304468864708966</v>
      </c>
      <c r="T273" s="7">
        <f>VLOOKUP(R273, $N$227:$P$302, 3)</f>
        <v>-69.776374576488308</v>
      </c>
    </row>
    <row r="274" spans="18:20" x14ac:dyDescent="0.25">
      <c r="R274" s="6" t="s">
        <v>14</v>
      </c>
      <c r="S274" s="4">
        <f>VLOOKUP(R274, $N$227:$O$302, 2)</f>
        <v>28.33343737324676</v>
      </c>
      <c r="T274" s="7">
        <f>VLOOKUP(R274, $N$227:$P$302, 3)</f>
        <v>-13.277904198831624</v>
      </c>
    </row>
    <row r="275" spans="18:20" x14ac:dyDescent="0.25">
      <c r="R275" s="6" t="s">
        <v>13</v>
      </c>
      <c r="S275" s="4">
        <f>VLOOKUP(R275, $N$227:$O$302, 2)</f>
        <v>11.094941965411696</v>
      </c>
      <c r="T275" s="7">
        <f>VLOOKUP(R275, $N$227:$P$302, 3)</f>
        <v>5.8666493886116067</v>
      </c>
    </row>
    <row r="276" spans="18:20" x14ac:dyDescent="0.25">
      <c r="R276" s="6" t="s">
        <v>12</v>
      </c>
      <c r="S276" s="4">
        <f>VLOOKUP(R276, $N$227:$O$302, 2)</f>
        <v>15.087286893814012</v>
      </c>
      <c r="T276" s="7">
        <f>VLOOKUP(R276, $N$227:$P$302, 3)</f>
        <v>108.29788310411439</v>
      </c>
    </row>
    <row r="277" spans="18:20" x14ac:dyDescent="0.25">
      <c r="R277" s="6" t="s">
        <v>5</v>
      </c>
      <c r="S277" s="4">
        <f>VLOOKUP(R277, $N$227:$O$302, 2)</f>
        <v>-14.5329353407379</v>
      </c>
      <c r="T277" s="7">
        <f>VLOOKUP(R277, $N$227:$P$302, 3)</f>
        <v>137.26667276419434</v>
      </c>
    </row>
    <row r="278" spans="18:20" x14ac:dyDescent="0.25">
      <c r="R278" s="6" t="s">
        <v>8</v>
      </c>
      <c r="S278" s="4">
        <f>VLOOKUP(R278, $N$227:$O$302, 2)</f>
        <v>-10.792211410067743</v>
      </c>
      <c r="T278" s="7">
        <f>VLOOKUP(R278, $N$227:$P$302, 3)</f>
        <v>30.173862446371093</v>
      </c>
    </row>
    <row r="279" spans="18:20" x14ac:dyDescent="0.25">
      <c r="R279" s="6" t="s">
        <v>7</v>
      </c>
      <c r="S279" s="4">
        <f>VLOOKUP(R279, $N$227:$O$302, 2)</f>
        <v>-26.439468795226841</v>
      </c>
      <c r="T279" s="7">
        <f>VLOOKUP(R279, $N$227:$P$302, 3)</f>
        <v>47.551235031367241</v>
      </c>
    </row>
    <row r="280" spans="18:20" x14ac:dyDescent="0.25">
      <c r="R280" s="6"/>
      <c r="S280" s="4"/>
      <c r="T280" s="7"/>
    </row>
    <row r="281" spans="18:20" x14ac:dyDescent="0.25">
      <c r="R281" s="6" t="s">
        <v>28</v>
      </c>
      <c r="S281" s="4">
        <f>VLOOKUP(R281, $N$227:$O$302, 2)</f>
        <v>-12.953907055409983</v>
      </c>
      <c r="T281" s="7">
        <f>VLOOKUP(R281, $N$227:$P$302, 3)</f>
        <v>-44.186884016097828</v>
      </c>
    </row>
    <row r="282" spans="18:20" x14ac:dyDescent="0.25">
      <c r="R282" s="6" t="s">
        <v>0</v>
      </c>
      <c r="S282" s="4">
        <f>VLOOKUP(R282, $N$227:$O$302, 2)</f>
        <v>-11.738117098794062</v>
      </c>
      <c r="T282" s="7">
        <f>VLOOKUP(R282, $N$227:$P$302, 3)</f>
        <v>-66.206072922142695</v>
      </c>
    </row>
    <row r="283" spans="18:20" x14ac:dyDescent="0.25">
      <c r="R283" s="6" t="s">
        <v>22</v>
      </c>
      <c r="S283" s="4">
        <f>VLOOKUP(R283, $N$227:$O$302, 2)</f>
        <v>12.238316714298</v>
      </c>
      <c r="T283" s="7">
        <f>VLOOKUP(R283, $N$227:$P$302, 3)</f>
        <v>-95.831101030292587</v>
      </c>
    </row>
    <row r="284" spans="18:20" x14ac:dyDescent="0.25">
      <c r="R284" s="6" t="s">
        <v>23</v>
      </c>
      <c r="S284" s="4">
        <f>VLOOKUP(R284, $N$227:$O$302, 2)</f>
        <v>13.54909104524098</v>
      </c>
      <c r="T284" s="7">
        <f>VLOOKUP(R284, $N$227:$P$302, 3)</f>
        <v>-76.234881269922795</v>
      </c>
    </row>
    <row r="285" spans="18:20" x14ac:dyDescent="0.25">
      <c r="R285" s="6" t="s">
        <v>28</v>
      </c>
      <c r="S285" s="4">
        <f>VLOOKUP(R285, $N$227:$O$302, 2)</f>
        <v>-12.953907055409983</v>
      </c>
      <c r="T285" s="7">
        <f>VLOOKUP(R285, $N$227:$P$302, 3)</f>
        <v>-44.186884016097828</v>
      </c>
    </row>
    <row r="286" spans="18:20" x14ac:dyDescent="0.25">
      <c r="R286" s="6"/>
      <c r="S286" s="4"/>
      <c r="T286" s="7"/>
    </row>
    <row r="287" spans="18:20" x14ac:dyDescent="0.25">
      <c r="R287" s="6" t="s">
        <v>24</v>
      </c>
      <c r="S287" s="4">
        <f>VLOOKUP(R287, $N$227:$O$302, 2)</f>
        <v>-34.86135635272489</v>
      </c>
      <c r="T287" s="7">
        <f>VLOOKUP(R287, $N$227:$P$302, 3)</f>
        <v>-27.475716923879371</v>
      </c>
    </row>
    <row r="288" spans="18:20" x14ac:dyDescent="0.25">
      <c r="R288" s="6" t="s">
        <v>25</v>
      </c>
      <c r="S288" s="4">
        <f>VLOOKUP(R288, $N$227:$O$302, 2)</f>
        <v>-31.642186672430181</v>
      </c>
      <c r="T288" s="7">
        <f>VLOOKUP(R288, $N$227:$P$302, 3)</f>
        <v>-50.683084301121262</v>
      </c>
    </row>
    <row r="289" spans="18:20" x14ac:dyDescent="0.25">
      <c r="R289" s="6" t="s">
        <v>26</v>
      </c>
      <c r="S289" s="4">
        <f>VLOOKUP(R289, $N$227:$O$302, 2)</f>
        <v>-16.477766497386828</v>
      </c>
      <c r="T289" s="7">
        <f>VLOOKUP(R289, $N$227:$P$302, 3)</f>
        <v>-69.601201120881157</v>
      </c>
    </row>
    <row r="290" spans="18:20" x14ac:dyDescent="0.25">
      <c r="R290" s="6" t="s">
        <v>27</v>
      </c>
      <c r="S290" s="4">
        <f>VLOOKUP(R290, $N$227:$O$302, 2)</f>
        <v>-18.191114800204666</v>
      </c>
      <c r="T290" s="7">
        <f>VLOOKUP(R290, $N$227:$P$302, 3)</f>
        <v>-47.849326378244911</v>
      </c>
    </row>
    <row r="291" spans="18:20" x14ac:dyDescent="0.25">
      <c r="R291" s="6" t="s">
        <v>24</v>
      </c>
      <c r="S291" s="4">
        <f>VLOOKUP(R291, $N$227:$O$302, 2)</f>
        <v>-34.86135635272489</v>
      </c>
      <c r="T291" s="7">
        <f>VLOOKUP(R291, $N$227:$P$302, 3)</f>
        <v>-27.475716923879371</v>
      </c>
    </row>
    <row r="292" spans="18:20" x14ac:dyDescent="0.25">
      <c r="R292" s="6"/>
      <c r="S292" s="4"/>
      <c r="T292" s="7"/>
    </row>
    <row r="293" spans="18:20" x14ac:dyDescent="0.25">
      <c r="R293" s="6" t="s">
        <v>1</v>
      </c>
      <c r="S293" s="4">
        <f>VLOOKUP(R293, $N$227:$O$302, 2)</f>
        <v>-15.753032092142295</v>
      </c>
      <c r="T293" s="7">
        <f>VLOOKUP(R293, $N$227:$P$302, 3)</f>
        <v>-26.153420374917271</v>
      </c>
    </row>
    <row r="294" spans="18:20" x14ac:dyDescent="0.25">
      <c r="R294" s="6" t="s">
        <v>2</v>
      </c>
      <c r="S294" s="4">
        <f>VLOOKUP(R294, $N$227:$O$302, 2)</f>
        <v>-21.761844260210545</v>
      </c>
      <c r="T294" s="7">
        <f>VLOOKUP(R294, $N$227:$P$302, 3)</f>
        <v>-30.266361605207976</v>
      </c>
    </row>
    <row r="295" spans="18:20" x14ac:dyDescent="0.25">
      <c r="R295" s="6" t="s">
        <v>32</v>
      </c>
      <c r="S295" s="4">
        <f>VLOOKUP(R295, $N$227:$O$302, 2)</f>
        <v>-6.9179354777975943</v>
      </c>
      <c r="T295" s="7">
        <f>VLOOKUP(R295, $N$227:$P$302, 3)</f>
        <v>-48.152844833380499</v>
      </c>
    </row>
    <row r="296" spans="18:20" x14ac:dyDescent="0.25">
      <c r="R296" s="6"/>
      <c r="S296" s="4"/>
      <c r="T296" s="7"/>
    </row>
    <row r="297" spans="18:20" x14ac:dyDescent="0.25">
      <c r="R297" s="58" t="s">
        <v>30</v>
      </c>
      <c r="S297" s="4">
        <f>VLOOKUP(R297, $N$227:$O$302, 2)</f>
        <v>-11.157183234809045</v>
      </c>
      <c r="T297" s="7">
        <f>VLOOKUP(R297, $N$227:$P$302, 3)</f>
        <v>-34.858615459891439</v>
      </c>
    </row>
    <row r="298" spans="18:20" x14ac:dyDescent="0.25">
      <c r="R298" s="58" t="s">
        <v>31</v>
      </c>
      <c r="S298" s="4">
        <f>VLOOKUP(R298, $N$227:$O$302, 2)</f>
        <v>-21.553570109721132</v>
      </c>
      <c r="T298" s="7">
        <f>VLOOKUP(R298, $N$227:$P$302, 3)</f>
        <v>-42.066479936172072</v>
      </c>
    </row>
    <row r="299" spans="18:20" x14ac:dyDescent="0.25">
      <c r="R299" s="58"/>
      <c r="S299" s="4"/>
      <c r="T299" s="7"/>
    </row>
    <row r="300" spans="18:20" x14ac:dyDescent="0.25">
      <c r="R300" s="58" t="s">
        <v>34</v>
      </c>
      <c r="S300" s="4">
        <f>VLOOKUP(R300, $N$227:$O$302, 2)</f>
        <v>-10.073098477829374</v>
      </c>
      <c r="T300" s="7">
        <f>VLOOKUP(R300, $N$227:$P$302, 3)</f>
        <v>100.72416796809833</v>
      </c>
    </row>
    <row r="301" spans="18:20" x14ac:dyDescent="0.25">
      <c r="R301" s="58" t="s">
        <v>37</v>
      </c>
      <c r="S301" s="4">
        <f>VLOOKUP(R301, $N$227:$O$302, 2)</f>
        <v>3.321588985398216E-15</v>
      </c>
      <c r="T301" s="7">
        <f>VLOOKUP(R301, $N$227:$P$302, 3)</f>
        <v>-1.5943627129911437E-13</v>
      </c>
    </row>
    <row r="302" spans="18:20" ht="13.8" thickBot="1" x14ac:dyDescent="0.3">
      <c r="R302" s="59" t="s">
        <v>38</v>
      </c>
      <c r="S302" s="8">
        <f>VLOOKUP(R302, $N$227:$O$302, 2)</f>
        <v>8.2921313217956101</v>
      </c>
      <c r="T302" s="9">
        <f>VLOOKUP(R302, $N$227:$P$302, 3)</f>
        <v>8.9793664380227831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mdDecrement">
          <controlPr defaultSize="0" autoLine="0" autoPict="0" r:id="rId5">
            <anchor moveWithCells="1">
              <from>
                <xdr:col>0</xdr:col>
                <xdr:colOff>350520</xdr:colOff>
                <xdr:row>9</xdr:row>
                <xdr:rowOff>22860</xdr:rowOff>
              </from>
              <to>
                <xdr:col>1</xdr:col>
                <xdr:colOff>289560</xdr:colOff>
                <xdr:row>11</xdr:row>
                <xdr:rowOff>22860</xdr:rowOff>
              </to>
            </anchor>
          </controlPr>
        </control>
      </mc:Choice>
      <mc:Fallback>
        <control shapeId="1056" r:id="rId4" name="cmdDecrement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60960</xdr:rowOff>
              </from>
              <to>
                <xdr:col>1</xdr:col>
                <xdr:colOff>281940</xdr:colOff>
                <xdr:row>8</xdr:row>
                <xdr:rowOff>60960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49" r:id="rId8" name="cmdRezero">
          <controlPr defaultSize="0" autoLine="0" autoPict="0" r:id="rId9">
            <anchor moveWithCells="1">
              <from>
                <xdr:col>0</xdr:col>
                <xdr:colOff>342900</xdr:colOff>
                <xdr:row>3</xdr:row>
                <xdr:rowOff>99060</xdr:rowOff>
              </from>
              <to>
                <xdr:col>1</xdr:col>
                <xdr:colOff>274320</xdr:colOff>
                <xdr:row>5</xdr:row>
                <xdr:rowOff>38100</xdr:rowOff>
              </to>
            </anchor>
          </controlPr>
        </control>
      </mc:Choice>
      <mc:Fallback>
        <control shapeId="1049" r:id="rId8" name="cmdRez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lambmaster@hotmail.com</cp:lastModifiedBy>
  <cp:lastPrinted>2001-04-28T16:25:21Z</cp:lastPrinted>
  <dcterms:created xsi:type="dcterms:W3CDTF">2001-04-27T20:25:39Z</dcterms:created>
  <dcterms:modified xsi:type="dcterms:W3CDTF">2015-11-27T19:38:59Z</dcterms:modified>
</cp:coreProperties>
</file>