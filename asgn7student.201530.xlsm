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ns\Desktop\comp4560\"/>
    </mc:Choice>
  </mc:AlternateContent>
  <bookViews>
    <workbookView xWindow="0" yWindow="0" windowWidth="23040" windowHeight="9396" firstSheet="1" activeTab="1"/>
  </bookViews>
  <sheets>
    <sheet name="445705" sheetId="4" state="hidden" r:id="rId1"/>
    <sheet name="Main" sheetId="1" r:id="rId2"/>
    <sheet name="Main (2)" sheetId="8" state="hidden" r:id="rId3"/>
  </sheets>
  <definedNames>
    <definedName name="b" localSheetId="2">'Main (2)'!$C$31</definedName>
    <definedName name="b">Main!$C$31</definedName>
    <definedName name="cc" localSheetId="2">'Main (2)'!$C$32</definedName>
    <definedName name="cc">Main!$C$32</definedName>
    <definedName name="s" localSheetId="2">'Main (2)'!$C$30</definedName>
    <definedName name="s">Main!$C$30</definedName>
  </definedNames>
  <calcPr calcId="152511"/>
</workbook>
</file>

<file path=xl/calcChain.xml><?xml version="1.0" encoding="utf-8"?>
<calcChain xmlns="http://schemas.openxmlformats.org/spreadsheetml/2006/main">
  <c r="F41" i="1" l="1"/>
  <c r="F42" i="1"/>
  <c r="F43" i="1"/>
  <c r="P39" i="1" s="1" a="1"/>
  <c r="P39" i="1" s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40" i="1"/>
  <c r="B180" i="1" a="1"/>
  <c r="B180" i="1" s="1"/>
  <c r="C180" i="1"/>
  <c r="C182" i="1"/>
  <c r="C184" i="1"/>
  <c r="C186" i="1"/>
  <c r="C188" i="1"/>
  <c r="C190" i="1"/>
  <c r="C192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62" i="1"/>
  <c r="N155" i="1"/>
  <c r="N143" i="1"/>
  <c r="M143" i="1" s="1"/>
  <c r="N144" i="1"/>
  <c r="M144" i="1" s="1"/>
  <c r="N145" i="1"/>
  <c r="M145" i="1" s="1"/>
  <c r="L145" i="1" s="1"/>
  <c r="M146" i="1"/>
  <c r="N146" i="1"/>
  <c r="N147" i="1"/>
  <c r="M147" i="1" s="1"/>
  <c r="N148" i="1"/>
  <c r="M148" i="1" s="1"/>
  <c r="L148" i="1" s="1"/>
  <c r="K148" i="1" s="1"/>
  <c r="N149" i="1"/>
  <c r="M149" i="1" s="1"/>
  <c r="L149" i="1" s="1"/>
  <c r="M150" i="1"/>
  <c r="N150" i="1"/>
  <c r="N151" i="1"/>
  <c r="M151" i="1" s="1"/>
  <c r="L151" i="1" s="1"/>
  <c r="N152" i="1"/>
  <c r="M152" i="1" s="1"/>
  <c r="N153" i="1"/>
  <c r="M153" i="1" s="1"/>
  <c r="M154" i="1"/>
  <c r="L154" i="1" s="1"/>
  <c r="N154" i="1"/>
  <c r="M155" i="1"/>
  <c r="L155" i="1" s="1"/>
  <c r="K155" i="1" s="1"/>
  <c r="J155" i="1" s="1"/>
  <c r="I155" i="1" s="1"/>
  <c r="H155" i="1" s="1"/>
  <c r="G155" i="1" s="1"/>
  <c r="F155" i="1" s="1"/>
  <c r="E155" i="1" s="1"/>
  <c r="D155" i="1" s="1"/>
  <c r="C155" i="1" s="1"/>
  <c r="B155" i="1" s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40" i="1"/>
  <c r="C41" i="1"/>
  <c r="D41" i="1"/>
  <c r="G41" i="1"/>
  <c r="H41" i="1"/>
  <c r="I41" i="1"/>
  <c r="J41" i="1"/>
  <c r="K41" i="1"/>
  <c r="L41" i="1"/>
  <c r="M41" i="1"/>
  <c r="N41" i="1"/>
  <c r="C42" i="1"/>
  <c r="D42" i="1"/>
  <c r="G42" i="1"/>
  <c r="H42" i="1"/>
  <c r="I42" i="1"/>
  <c r="J42" i="1"/>
  <c r="K42" i="1"/>
  <c r="L42" i="1"/>
  <c r="M42" i="1"/>
  <c r="N42" i="1"/>
  <c r="C43" i="1"/>
  <c r="D43" i="1"/>
  <c r="G43" i="1"/>
  <c r="H43" i="1"/>
  <c r="I43" i="1"/>
  <c r="J43" i="1"/>
  <c r="K43" i="1"/>
  <c r="L43" i="1"/>
  <c r="M43" i="1"/>
  <c r="N43" i="1"/>
  <c r="C44" i="1"/>
  <c r="D44" i="1"/>
  <c r="G44" i="1"/>
  <c r="H44" i="1"/>
  <c r="I44" i="1"/>
  <c r="J44" i="1"/>
  <c r="K44" i="1"/>
  <c r="L44" i="1"/>
  <c r="M44" i="1"/>
  <c r="N44" i="1"/>
  <c r="C45" i="1"/>
  <c r="D45" i="1"/>
  <c r="G45" i="1"/>
  <c r="H45" i="1"/>
  <c r="I45" i="1"/>
  <c r="J45" i="1"/>
  <c r="K45" i="1"/>
  <c r="L45" i="1"/>
  <c r="M45" i="1"/>
  <c r="N45" i="1"/>
  <c r="C46" i="1"/>
  <c r="D46" i="1"/>
  <c r="G46" i="1"/>
  <c r="H46" i="1"/>
  <c r="I46" i="1"/>
  <c r="J46" i="1"/>
  <c r="K46" i="1"/>
  <c r="L46" i="1"/>
  <c r="M46" i="1"/>
  <c r="N46" i="1"/>
  <c r="C47" i="1"/>
  <c r="D47" i="1"/>
  <c r="G47" i="1"/>
  <c r="H47" i="1"/>
  <c r="I47" i="1"/>
  <c r="J47" i="1"/>
  <c r="K47" i="1"/>
  <c r="L47" i="1"/>
  <c r="M47" i="1"/>
  <c r="N47" i="1"/>
  <c r="C48" i="1"/>
  <c r="D48" i="1"/>
  <c r="G48" i="1"/>
  <c r="H48" i="1"/>
  <c r="I48" i="1"/>
  <c r="J48" i="1"/>
  <c r="K48" i="1"/>
  <c r="L48" i="1"/>
  <c r="M48" i="1"/>
  <c r="N48" i="1"/>
  <c r="C49" i="1"/>
  <c r="D49" i="1"/>
  <c r="G49" i="1"/>
  <c r="H49" i="1"/>
  <c r="I49" i="1"/>
  <c r="J49" i="1"/>
  <c r="K49" i="1"/>
  <c r="L49" i="1"/>
  <c r="M49" i="1"/>
  <c r="N49" i="1"/>
  <c r="C50" i="1"/>
  <c r="D50" i="1"/>
  <c r="G50" i="1"/>
  <c r="H50" i="1"/>
  <c r="I50" i="1"/>
  <c r="J50" i="1"/>
  <c r="K50" i="1"/>
  <c r="L50" i="1"/>
  <c r="M50" i="1"/>
  <c r="N50" i="1"/>
  <c r="C51" i="1"/>
  <c r="D51" i="1"/>
  <c r="G51" i="1"/>
  <c r="H51" i="1"/>
  <c r="I51" i="1"/>
  <c r="J51" i="1"/>
  <c r="K51" i="1"/>
  <c r="L51" i="1"/>
  <c r="M51" i="1"/>
  <c r="N51" i="1"/>
  <c r="C52" i="1"/>
  <c r="D52" i="1"/>
  <c r="G52" i="1"/>
  <c r="H52" i="1"/>
  <c r="I52" i="1"/>
  <c r="J52" i="1"/>
  <c r="K52" i="1"/>
  <c r="L52" i="1"/>
  <c r="M52" i="1"/>
  <c r="N52" i="1"/>
  <c r="C53" i="1"/>
  <c r="D53" i="1"/>
  <c r="G53" i="1"/>
  <c r="H53" i="1"/>
  <c r="I53" i="1"/>
  <c r="J53" i="1"/>
  <c r="K53" i="1"/>
  <c r="L53" i="1"/>
  <c r="M53" i="1"/>
  <c r="N53" i="1"/>
  <c r="C54" i="1"/>
  <c r="D54" i="1"/>
  <c r="G54" i="1"/>
  <c r="H54" i="1"/>
  <c r="I54" i="1"/>
  <c r="J54" i="1"/>
  <c r="K54" i="1"/>
  <c r="L54" i="1"/>
  <c r="M54" i="1"/>
  <c r="N54" i="1"/>
  <c r="C55" i="1"/>
  <c r="D55" i="1"/>
  <c r="G55" i="1"/>
  <c r="H55" i="1"/>
  <c r="I55" i="1"/>
  <c r="J55" i="1"/>
  <c r="K55" i="1"/>
  <c r="L55" i="1"/>
  <c r="M55" i="1"/>
  <c r="N55" i="1"/>
  <c r="C56" i="1"/>
  <c r="D56" i="1"/>
  <c r="G56" i="1"/>
  <c r="H56" i="1"/>
  <c r="I56" i="1"/>
  <c r="J56" i="1"/>
  <c r="K56" i="1"/>
  <c r="L56" i="1"/>
  <c r="M56" i="1"/>
  <c r="N56" i="1"/>
  <c r="C57" i="1"/>
  <c r="D57" i="1"/>
  <c r="G57" i="1"/>
  <c r="H57" i="1"/>
  <c r="I57" i="1"/>
  <c r="J57" i="1"/>
  <c r="K57" i="1"/>
  <c r="L57" i="1"/>
  <c r="M57" i="1"/>
  <c r="N57" i="1"/>
  <c r="C58" i="1"/>
  <c r="D58" i="1"/>
  <c r="G58" i="1"/>
  <c r="H58" i="1"/>
  <c r="I58" i="1"/>
  <c r="J58" i="1"/>
  <c r="K58" i="1"/>
  <c r="L58" i="1"/>
  <c r="M58" i="1"/>
  <c r="N58" i="1"/>
  <c r="C59" i="1"/>
  <c r="D59" i="1"/>
  <c r="G59" i="1"/>
  <c r="H59" i="1"/>
  <c r="I59" i="1"/>
  <c r="J59" i="1"/>
  <c r="K59" i="1"/>
  <c r="L59" i="1"/>
  <c r="M59" i="1"/>
  <c r="N59" i="1"/>
  <c r="C60" i="1"/>
  <c r="D60" i="1"/>
  <c r="G60" i="1"/>
  <c r="H60" i="1"/>
  <c r="I60" i="1"/>
  <c r="J60" i="1"/>
  <c r="K60" i="1"/>
  <c r="L60" i="1"/>
  <c r="M60" i="1"/>
  <c r="N60" i="1"/>
  <c r="C61" i="1"/>
  <c r="D61" i="1"/>
  <c r="G61" i="1"/>
  <c r="H61" i="1"/>
  <c r="I61" i="1"/>
  <c r="J61" i="1"/>
  <c r="K61" i="1"/>
  <c r="L61" i="1"/>
  <c r="M61" i="1"/>
  <c r="N61" i="1"/>
  <c r="C62" i="1"/>
  <c r="D62" i="1"/>
  <c r="G62" i="1"/>
  <c r="H62" i="1"/>
  <c r="I62" i="1"/>
  <c r="J62" i="1"/>
  <c r="K62" i="1"/>
  <c r="L62" i="1"/>
  <c r="M62" i="1"/>
  <c r="N62" i="1"/>
  <c r="C63" i="1"/>
  <c r="D63" i="1"/>
  <c r="G63" i="1"/>
  <c r="H63" i="1"/>
  <c r="I63" i="1"/>
  <c r="J63" i="1"/>
  <c r="K63" i="1"/>
  <c r="L63" i="1"/>
  <c r="M63" i="1"/>
  <c r="N63" i="1"/>
  <c r="C64" i="1"/>
  <c r="D64" i="1"/>
  <c r="G64" i="1"/>
  <c r="H64" i="1"/>
  <c r="I64" i="1"/>
  <c r="J64" i="1"/>
  <c r="K64" i="1"/>
  <c r="L64" i="1"/>
  <c r="M64" i="1"/>
  <c r="N64" i="1"/>
  <c r="C65" i="1"/>
  <c r="D65" i="1"/>
  <c r="G65" i="1"/>
  <c r="H65" i="1"/>
  <c r="I65" i="1"/>
  <c r="J65" i="1"/>
  <c r="K65" i="1"/>
  <c r="L65" i="1"/>
  <c r="M65" i="1"/>
  <c r="N65" i="1"/>
  <c r="C66" i="1"/>
  <c r="D66" i="1"/>
  <c r="G66" i="1"/>
  <c r="H66" i="1"/>
  <c r="I66" i="1"/>
  <c r="J66" i="1"/>
  <c r="K66" i="1"/>
  <c r="L66" i="1"/>
  <c r="M66" i="1"/>
  <c r="N66" i="1"/>
  <c r="C67" i="1"/>
  <c r="D67" i="1"/>
  <c r="G67" i="1"/>
  <c r="H67" i="1"/>
  <c r="I67" i="1"/>
  <c r="J67" i="1"/>
  <c r="K67" i="1"/>
  <c r="L67" i="1"/>
  <c r="M67" i="1"/>
  <c r="N67" i="1"/>
  <c r="C68" i="1"/>
  <c r="D68" i="1"/>
  <c r="G68" i="1"/>
  <c r="H68" i="1"/>
  <c r="I68" i="1"/>
  <c r="J68" i="1"/>
  <c r="K68" i="1"/>
  <c r="L68" i="1"/>
  <c r="M68" i="1"/>
  <c r="N68" i="1"/>
  <c r="C69" i="1"/>
  <c r="D69" i="1"/>
  <c r="G69" i="1"/>
  <c r="H69" i="1"/>
  <c r="I69" i="1"/>
  <c r="J69" i="1"/>
  <c r="K69" i="1"/>
  <c r="L69" i="1"/>
  <c r="M69" i="1"/>
  <c r="N69" i="1"/>
  <c r="C70" i="1"/>
  <c r="D70" i="1"/>
  <c r="G70" i="1"/>
  <c r="H70" i="1"/>
  <c r="I70" i="1"/>
  <c r="J70" i="1"/>
  <c r="K70" i="1"/>
  <c r="L70" i="1"/>
  <c r="M70" i="1"/>
  <c r="N70" i="1"/>
  <c r="C71" i="1"/>
  <c r="D71" i="1"/>
  <c r="G71" i="1"/>
  <c r="H71" i="1"/>
  <c r="I71" i="1"/>
  <c r="J71" i="1"/>
  <c r="K71" i="1"/>
  <c r="L71" i="1"/>
  <c r="M71" i="1"/>
  <c r="N71" i="1"/>
  <c r="C72" i="1"/>
  <c r="D72" i="1"/>
  <c r="G72" i="1"/>
  <c r="H72" i="1"/>
  <c r="I72" i="1"/>
  <c r="J72" i="1"/>
  <c r="K72" i="1"/>
  <c r="L72" i="1"/>
  <c r="M72" i="1"/>
  <c r="N72" i="1"/>
  <c r="C73" i="1"/>
  <c r="D73" i="1"/>
  <c r="G73" i="1"/>
  <c r="H73" i="1"/>
  <c r="I73" i="1"/>
  <c r="J73" i="1"/>
  <c r="K73" i="1"/>
  <c r="L73" i="1"/>
  <c r="M73" i="1"/>
  <c r="N73" i="1"/>
  <c r="C74" i="1"/>
  <c r="D74" i="1"/>
  <c r="G74" i="1"/>
  <c r="H74" i="1"/>
  <c r="I74" i="1"/>
  <c r="J74" i="1"/>
  <c r="K74" i="1"/>
  <c r="L74" i="1"/>
  <c r="M74" i="1"/>
  <c r="N74" i="1"/>
  <c r="C75" i="1"/>
  <c r="D75" i="1"/>
  <c r="G75" i="1"/>
  <c r="H75" i="1"/>
  <c r="I75" i="1"/>
  <c r="J75" i="1"/>
  <c r="K75" i="1"/>
  <c r="L75" i="1"/>
  <c r="M75" i="1"/>
  <c r="N75" i="1"/>
  <c r="C76" i="1"/>
  <c r="D76" i="1"/>
  <c r="G76" i="1"/>
  <c r="H76" i="1"/>
  <c r="I76" i="1"/>
  <c r="J76" i="1"/>
  <c r="K76" i="1"/>
  <c r="L76" i="1"/>
  <c r="M76" i="1"/>
  <c r="N76" i="1"/>
  <c r="C77" i="1"/>
  <c r="D77" i="1"/>
  <c r="G77" i="1"/>
  <c r="H77" i="1"/>
  <c r="I77" i="1"/>
  <c r="J77" i="1"/>
  <c r="K77" i="1"/>
  <c r="L77" i="1"/>
  <c r="M77" i="1"/>
  <c r="N77" i="1"/>
  <c r="C78" i="1"/>
  <c r="D78" i="1"/>
  <c r="G78" i="1"/>
  <c r="H78" i="1"/>
  <c r="I78" i="1"/>
  <c r="J78" i="1"/>
  <c r="K78" i="1"/>
  <c r="L78" i="1"/>
  <c r="M78" i="1"/>
  <c r="N78" i="1"/>
  <c r="C79" i="1"/>
  <c r="D79" i="1"/>
  <c r="G79" i="1"/>
  <c r="H79" i="1"/>
  <c r="I79" i="1"/>
  <c r="J79" i="1"/>
  <c r="K79" i="1"/>
  <c r="L79" i="1"/>
  <c r="M79" i="1"/>
  <c r="N79" i="1"/>
  <c r="C80" i="1"/>
  <c r="D80" i="1"/>
  <c r="G80" i="1"/>
  <c r="H80" i="1"/>
  <c r="I80" i="1"/>
  <c r="J80" i="1"/>
  <c r="K80" i="1"/>
  <c r="L80" i="1"/>
  <c r="M80" i="1"/>
  <c r="N80" i="1"/>
  <c r="C81" i="1"/>
  <c r="D81" i="1"/>
  <c r="G81" i="1"/>
  <c r="H81" i="1"/>
  <c r="I81" i="1"/>
  <c r="J81" i="1"/>
  <c r="K81" i="1"/>
  <c r="L81" i="1"/>
  <c r="M81" i="1"/>
  <c r="N81" i="1"/>
  <c r="C82" i="1"/>
  <c r="D82" i="1"/>
  <c r="G82" i="1"/>
  <c r="H82" i="1"/>
  <c r="I82" i="1"/>
  <c r="J82" i="1"/>
  <c r="K82" i="1"/>
  <c r="L82" i="1"/>
  <c r="M82" i="1"/>
  <c r="N82" i="1"/>
  <c r="C83" i="1"/>
  <c r="D83" i="1"/>
  <c r="G83" i="1"/>
  <c r="H83" i="1"/>
  <c r="I83" i="1"/>
  <c r="J83" i="1"/>
  <c r="K83" i="1"/>
  <c r="L83" i="1"/>
  <c r="M83" i="1"/>
  <c r="N83" i="1"/>
  <c r="C84" i="1"/>
  <c r="D84" i="1"/>
  <c r="G84" i="1"/>
  <c r="H84" i="1"/>
  <c r="I84" i="1"/>
  <c r="J84" i="1"/>
  <c r="K84" i="1"/>
  <c r="L84" i="1"/>
  <c r="M84" i="1"/>
  <c r="N84" i="1"/>
  <c r="C85" i="1"/>
  <c r="D85" i="1"/>
  <c r="G85" i="1"/>
  <c r="H85" i="1"/>
  <c r="I85" i="1"/>
  <c r="J85" i="1"/>
  <c r="K85" i="1"/>
  <c r="L85" i="1"/>
  <c r="M85" i="1"/>
  <c r="N85" i="1"/>
  <c r="C86" i="1"/>
  <c r="D86" i="1"/>
  <c r="G86" i="1"/>
  <c r="H86" i="1"/>
  <c r="I86" i="1"/>
  <c r="J86" i="1"/>
  <c r="K86" i="1"/>
  <c r="L86" i="1"/>
  <c r="M86" i="1"/>
  <c r="N86" i="1"/>
  <c r="C87" i="1"/>
  <c r="D87" i="1"/>
  <c r="G87" i="1"/>
  <c r="H87" i="1"/>
  <c r="I87" i="1"/>
  <c r="J87" i="1"/>
  <c r="K87" i="1"/>
  <c r="L87" i="1"/>
  <c r="M87" i="1"/>
  <c r="N87" i="1"/>
  <c r="C88" i="1"/>
  <c r="D88" i="1"/>
  <c r="G88" i="1"/>
  <c r="H88" i="1"/>
  <c r="I88" i="1"/>
  <c r="J88" i="1"/>
  <c r="K88" i="1"/>
  <c r="L88" i="1"/>
  <c r="M88" i="1"/>
  <c r="N88" i="1"/>
  <c r="C89" i="1"/>
  <c r="D89" i="1"/>
  <c r="G89" i="1"/>
  <c r="H89" i="1"/>
  <c r="I89" i="1"/>
  <c r="J89" i="1"/>
  <c r="K89" i="1"/>
  <c r="L89" i="1"/>
  <c r="M89" i="1"/>
  <c r="N89" i="1"/>
  <c r="C90" i="1"/>
  <c r="D90" i="1"/>
  <c r="G90" i="1"/>
  <c r="H90" i="1"/>
  <c r="I90" i="1"/>
  <c r="J90" i="1"/>
  <c r="K90" i="1"/>
  <c r="L90" i="1"/>
  <c r="M90" i="1"/>
  <c r="N90" i="1"/>
  <c r="C91" i="1"/>
  <c r="D91" i="1"/>
  <c r="G91" i="1"/>
  <c r="H91" i="1"/>
  <c r="I91" i="1"/>
  <c r="J91" i="1"/>
  <c r="K91" i="1"/>
  <c r="L91" i="1"/>
  <c r="M91" i="1"/>
  <c r="N91" i="1"/>
  <c r="C92" i="1"/>
  <c r="D92" i="1"/>
  <c r="G92" i="1"/>
  <c r="H92" i="1"/>
  <c r="I92" i="1"/>
  <c r="J92" i="1"/>
  <c r="K92" i="1"/>
  <c r="L92" i="1"/>
  <c r="M92" i="1"/>
  <c r="N92" i="1"/>
  <c r="C93" i="1"/>
  <c r="D93" i="1"/>
  <c r="G93" i="1"/>
  <c r="H93" i="1"/>
  <c r="I93" i="1"/>
  <c r="J93" i="1"/>
  <c r="K93" i="1"/>
  <c r="L93" i="1"/>
  <c r="M93" i="1"/>
  <c r="N93" i="1"/>
  <c r="C94" i="1"/>
  <c r="D94" i="1"/>
  <c r="G94" i="1"/>
  <c r="H94" i="1"/>
  <c r="I94" i="1"/>
  <c r="J94" i="1"/>
  <c r="K94" i="1"/>
  <c r="L94" i="1"/>
  <c r="M94" i="1"/>
  <c r="N94" i="1"/>
  <c r="C95" i="1"/>
  <c r="D95" i="1"/>
  <c r="G95" i="1"/>
  <c r="H95" i="1"/>
  <c r="I95" i="1"/>
  <c r="J95" i="1"/>
  <c r="K95" i="1"/>
  <c r="L95" i="1"/>
  <c r="M95" i="1"/>
  <c r="N95" i="1"/>
  <c r="C96" i="1"/>
  <c r="D96" i="1"/>
  <c r="G96" i="1"/>
  <c r="H96" i="1"/>
  <c r="I96" i="1"/>
  <c r="J96" i="1"/>
  <c r="K96" i="1"/>
  <c r="L96" i="1"/>
  <c r="M96" i="1"/>
  <c r="N96" i="1"/>
  <c r="C97" i="1"/>
  <c r="D97" i="1"/>
  <c r="G97" i="1"/>
  <c r="H97" i="1"/>
  <c r="I97" i="1"/>
  <c r="J97" i="1"/>
  <c r="K97" i="1"/>
  <c r="L97" i="1"/>
  <c r="M97" i="1"/>
  <c r="N97" i="1"/>
  <c r="C98" i="1"/>
  <c r="D98" i="1"/>
  <c r="G98" i="1"/>
  <c r="H98" i="1"/>
  <c r="I98" i="1"/>
  <c r="J98" i="1"/>
  <c r="K98" i="1"/>
  <c r="L98" i="1"/>
  <c r="M98" i="1"/>
  <c r="N98" i="1"/>
  <c r="C99" i="1"/>
  <c r="D99" i="1"/>
  <c r="G99" i="1"/>
  <c r="H99" i="1"/>
  <c r="I99" i="1"/>
  <c r="J99" i="1"/>
  <c r="K99" i="1"/>
  <c r="L99" i="1"/>
  <c r="M99" i="1"/>
  <c r="N99" i="1"/>
  <c r="C100" i="1"/>
  <c r="D100" i="1"/>
  <c r="G100" i="1"/>
  <c r="H100" i="1"/>
  <c r="I100" i="1"/>
  <c r="J100" i="1"/>
  <c r="K100" i="1"/>
  <c r="L100" i="1"/>
  <c r="M100" i="1"/>
  <c r="N100" i="1"/>
  <c r="C101" i="1"/>
  <c r="D101" i="1"/>
  <c r="G101" i="1"/>
  <c r="H101" i="1"/>
  <c r="I101" i="1"/>
  <c r="J101" i="1"/>
  <c r="K101" i="1"/>
  <c r="L101" i="1"/>
  <c r="M101" i="1"/>
  <c r="N101" i="1"/>
  <c r="C102" i="1"/>
  <c r="D102" i="1"/>
  <c r="G102" i="1"/>
  <c r="H102" i="1"/>
  <c r="I102" i="1"/>
  <c r="J102" i="1"/>
  <c r="K102" i="1"/>
  <c r="L102" i="1"/>
  <c r="M102" i="1"/>
  <c r="N102" i="1"/>
  <c r="C103" i="1"/>
  <c r="D103" i="1"/>
  <c r="G103" i="1"/>
  <c r="H103" i="1"/>
  <c r="I103" i="1"/>
  <c r="J103" i="1"/>
  <c r="K103" i="1"/>
  <c r="L103" i="1"/>
  <c r="M103" i="1"/>
  <c r="N103" i="1"/>
  <c r="C104" i="1"/>
  <c r="D104" i="1"/>
  <c r="G104" i="1"/>
  <c r="H104" i="1"/>
  <c r="I104" i="1"/>
  <c r="J104" i="1"/>
  <c r="K104" i="1"/>
  <c r="L104" i="1"/>
  <c r="M104" i="1"/>
  <c r="N104" i="1"/>
  <c r="C105" i="1"/>
  <c r="D105" i="1"/>
  <c r="G105" i="1"/>
  <c r="H105" i="1"/>
  <c r="I105" i="1"/>
  <c r="J105" i="1"/>
  <c r="K105" i="1"/>
  <c r="L105" i="1"/>
  <c r="M105" i="1"/>
  <c r="N105" i="1"/>
  <c r="C106" i="1"/>
  <c r="D106" i="1"/>
  <c r="G106" i="1"/>
  <c r="H106" i="1"/>
  <c r="I106" i="1"/>
  <c r="J106" i="1"/>
  <c r="K106" i="1"/>
  <c r="L106" i="1"/>
  <c r="M106" i="1"/>
  <c r="N106" i="1"/>
  <c r="C107" i="1"/>
  <c r="D107" i="1"/>
  <c r="G107" i="1"/>
  <c r="H107" i="1"/>
  <c r="I107" i="1"/>
  <c r="J107" i="1"/>
  <c r="K107" i="1"/>
  <c r="L107" i="1"/>
  <c r="M107" i="1"/>
  <c r="N107" i="1"/>
  <c r="C108" i="1"/>
  <c r="D108" i="1"/>
  <c r="G108" i="1"/>
  <c r="H108" i="1"/>
  <c r="I108" i="1"/>
  <c r="J108" i="1"/>
  <c r="K108" i="1"/>
  <c r="L108" i="1"/>
  <c r="M108" i="1"/>
  <c r="N108" i="1"/>
  <c r="C109" i="1"/>
  <c r="D109" i="1"/>
  <c r="G109" i="1"/>
  <c r="H109" i="1"/>
  <c r="I109" i="1"/>
  <c r="J109" i="1"/>
  <c r="K109" i="1"/>
  <c r="L109" i="1"/>
  <c r="M109" i="1"/>
  <c r="N109" i="1"/>
  <c r="C110" i="1"/>
  <c r="D110" i="1"/>
  <c r="G110" i="1"/>
  <c r="H110" i="1"/>
  <c r="I110" i="1"/>
  <c r="J110" i="1"/>
  <c r="K110" i="1"/>
  <c r="L110" i="1"/>
  <c r="M110" i="1"/>
  <c r="N110" i="1"/>
  <c r="C111" i="1"/>
  <c r="D111" i="1"/>
  <c r="G111" i="1"/>
  <c r="H111" i="1"/>
  <c r="I111" i="1"/>
  <c r="J111" i="1"/>
  <c r="K111" i="1"/>
  <c r="L111" i="1"/>
  <c r="M111" i="1"/>
  <c r="N111" i="1"/>
  <c r="C112" i="1"/>
  <c r="D112" i="1"/>
  <c r="G112" i="1"/>
  <c r="H112" i="1"/>
  <c r="I112" i="1"/>
  <c r="J112" i="1"/>
  <c r="K112" i="1"/>
  <c r="L112" i="1"/>
  <c r="M112" i="1"/>
  <c r="N112" i="1"/>
  <c r="C113" i="1"/>
  <c r="D113" i="1"/>
  <c r="G113" i="1"/>
  <c r="H113" i="1"/>
  <c r="I113" i="1"/>
  <c r="J113" i="1"/>
  <c r="K113" i="1"/>
  <c r="L113" i="1"/>
  <c r="M113" i="1"/>
  <c r="N113" i="1"/>
  <c r="C114" i="1"/>
  <c r="D114" i="1"/>
  <c r="G114" i="1"/>
  <c r="H114" i="1"/>
  <c r="I114" i="1"/>
  <c r="J114" i="1"/>
  <c r="K114" i="1"/>
  <c r="L114" i="1"/>
  <c r="M114" i="1"/>
  <c r="N114" i="1"/>
  <c r="C115" i="1"/>
  <c r="D115" i="1"/>
  <c r="G115" i="1"/>
  <c r="H115" i="1"/>
  <c r="I115" i="1"/>
  <c r="J115" i="1"/>
  <c r="K115" i="1"/>
  <c r="L115" i="1"/>
  <c r="M115" i="1"/>
  <c r="N115" i="1"/>
  <c r="C116" i="1"/>
  <c r="D116" i="1"/>
  <c r="G116" i="1"/>
  <c r="H116" i="1"/>
  <c r="I116" i="1"/>
  <c r="J116" i="1"/>
  <c r="K116" i="1"/>
  <c r="L116" i="1"/>
  <c r="M116" i="1"/>
  <c r="N116" i="1"/>
  <c r="C117" i="1"/>
  <c r="D117" i="1"/>
  <c r="G117" i="1"/>
  <c r="H117" i="1"/>
  <c r="I117" i="1"/>
  <c r="J117" i="1"/>
  <c r="K117" i="1"/>
  <c r="L117" i="1"/>
  <c r="M117" i="1"/>
  <c r="N117" i="1"/>
  <c r="C118" i="1"/>
  <c r="D118" i="1"/>
  <c r="G118" i="1"/>
  <c r="H118" i="1"/>
  <c r="I118" i="1"/>
  <c r="J118" i="1"/>
  <c r="K118" i="1"/>
  <c r="L118" i="1"/>
  <c r="M118" i="1"/>
  <c r="N118" i="1"/>
  <c r="C119" i="1"/>
  <c r="D119" i="1"/>
  <c r="G119" i="1"/>
  <c r="H119" i="1"/>
  <c r="I119" i="1"/>
  <c r="J119" i="1"/>
  <c r="K119" i="1"/>
  <c r="L119" i="1"/>
  <c r="M119" i="1"/>
  <c r="N119" i="1"/>
  <c r="C120" i="1"/>
  <c r="D120" i="1"/>
  <c r="G120" i="1"/>
  <c r="H120" i="1"/>
  <c r="I120" i="1"/>
  <c r="J120" i="1"/>
  <c r="K120" i="1"/>
  <c r="L120" i="1"/>
  <c r="M120" i="1"/>
  <c r="N120" i="1"/>
  <c r="C121" i="1"/>
  <c r="D121" i="1"/>
  <c r="G121" i="1"/>
  <c r="H121" i="1"/>
  <c r="I121" i="1"/>
  <c r="J121" i="1"/>
  <c r="K121" i="1"/>
  <c r="L121" i="1"/>
  <c r="M121" i="1"/>
  <c r="N121" i="1"/>
  <c r="C122" i="1"/>
  <c r="D122" i="1"/>
  <c r="G122" i="1"/>
  <c r="H122" i="1"/>
  <c r="I122" i="1"/>
  <c r="J122" i="1"/>
  <c r="K122" i="1"/>
  <c r="L122" i="1"/>
  <c r="M122" i="1"/>
  <c r="N122" i="1"/>
  <c r="C123" i="1"/>
  <c r="D123" i="1"/>
  <c r="G123" i="1"/>
  <c r="H123" i="1"/>
  <c r="I123" i="1"/>
  <c r="J123" i="1"/>
  <c r="K123" i="1"/>
  <c r="L123" i="1"/>
  <c r="M123" i="1"/>
  <c r="N123" i="1"/>
  <c r="C124" i="1"/>
  <c r="D124" i="1"/>
  <c r="G124" i="1"/>
  <c r="H124" i="1"/>
  <c r="I124" i="1"/>
  <c r="J124" i="1"/>
  <c r="K124" i="1"/>
  <c r="L124" i="1"/>
  <c r="M124" i="1"/>
  <c r="N124" i="1"/>
  <c r="C125" i="1"/>
  <c r="D125" i="1"/>
  <c r="G125" i="1"/>
  <c r="H125" i="1"/>
  <c r="I125" i="1"/>
  <c r="J125" i="1"/>
  <c r="K125" i="1"/>
  <c r="L125" i="1"/>
  <c r="M125" i="1"/>
  <c r="N125" i="1"/>
  <c r="C126" i="1"/>
  <c r="D126" i="1"/>
  <c r="G126" i="1"/>
  <c r="H126" i="1"/>
  <c r="I126" i="1"/>
  <c r="J126" i="1"/>
  <c r="K126" i="1"/>
  <c r="L126" i="1"/>
  <c r="M126" i="1"/>
  <c r="N126" i="1"/>
  <c r="C127" i="1"/>
  <c r="D127" i="1"/>
  <c r="G127" i="1"/>
  <c r="H127" i="1"/>
  <c r="I127" i="1"/>
  <c r="J127" i="1"/>
  <c r="K127" i="1"/>
  <c r="L127" i="1"/>
  <c r="M127" i="1"/>
  <c r="N127" i="1"/>
  <c r="C128" i="1"/>
  <c r="D128" i="1"/>
  <c r="G128" i="1"/>
  <c r="H128" i="1"/>
  <c r="I128" i="1"/>
  <c r="J128" i="1"/>
  <c r="K128" i="1"/>
  <c r="L128" i="1"/>
  <c r="M128" i="1"/>
  <c r="N128" i="1"/>
  <c r="C129" i="1"/>
  <c r="D129" i="1"/>
  <c r="G129" i="1"/>
  <c r="H129" i="1"/>
  <c r="I129" i="1"/>
  <c r="J129" i="1"/>
  <c r="K129" i="1"/>
  <c r="L129" i="1"/>
  <c r="M129" i="1"/>
  <c r="N129" i="1"/>
  <c r="C130" i="1"/>
  <c r="D130" i="1"/>
  <c r="G130" i="1"/>
  <c r="H130" i="1"/>
  <c r="I130" i="1"/>
  <c r="J130" i="1"/>
  <c r="K130" i="1"/>
  <c r="L130" i="1"/>
  <c r="M130" i="1"/>
  <c r="N130" i="1"/>
  <c r="C131" i="1"/>
  <c r="D131" i="1"/>
  <c r="G131" i="1"/>
  <c r="H131" i="1"/>
  <c r="I131" i="1"/>
  <c r="J131" i="1"/>
  <c r="K131" i="1"/>
  <c r="L131" i="1"/>
  <c r="M131" i="1"/>
  <c r="N131" i="1"/>
  <c r="C132" i="1"/>
  <c r="D132" i="1"/>
  <c r="G132" i="1"/>
  <c r="H132" i="1"/>
  <c r="I132" i="1"/>
  <c r="J132" i="1"/>
  <c r="K132" i="1"/>
  <c r="L132" i="1"/>
  <c r="M132" i="1"/>
  <c r="N132" i="1"/>
  <c r="C133" i="1"/>
  <c r="D133" i="1"/>
  <c r="G133" i="1"/>
  <c r="H133" i="1"/>
  <c r="I133" i="1"/>
  <c r="J133" i="1"/>
  <c r="K133" i="1"/>
  <c r="L133" i="1"/>
  <c r="M133" i="1"/>
  <c r="N133" i="1"/>
  <c r="C134" i="1"/>
  <c r="D134" i="1"/>
  <c r="G134" i="1"/>
  <c r="H134" i="1"/>
  <c r="I134" i="1"/>
  <c r="J134" i="1"/>
  <c r="K134" i="1"/>
  <c r="L134" i="1"/>
  <c r="M134" i="1"/>
  <c r="N134" i="1"/>
  <c r="C135" i="1"/>
  <c r="D135" i="1"/>
  <c r="G135" i="1"/>
  <c r="H135" i="1"/>
  <c r="I135" i="1"/>
  <c r="J135" i="1"/>
  <c r="K135" i="1"/>
  <c r="L135" i="1"/>
  <c r="M135" i="1"/>
  <c r="N135" i="1"/>
  <c r="C136" i="1"/>
  <c r="D136" i="1"/>
  <c r="G136" i="1"/>
  <c r="H136" i="1"/>
  <c r="I136" i="1"/>
  <c r="J136" i="1"/>
  <c r="K136" i="1"/>
  <c r="L136" i="1"/>
  <c r="M136" i="1"/>
  <c r="N136" i="1"/>
  <c r="C137" i="1"/>
  <c r="D137" i="1"/>
  <c r="G137" i="1"/>
  <c r="H137" i="1"/>
  <c r="I137" i="1"/>
  <c r="J137" i="1"/>
  <c r="K137" i="1"/>
  <c r="L137" i="1"/>
  <c r="M137" i="1"/>
  <c r="N137" i="1"/>
  <c r="C138" i="1"/>
  <c r="D138" i="1"/>
  <c r="G138" i="1"/>
  <c r="H138" i="1"/>
  <c r="I138" i="1"/>
  <c r="J138" i="1"/>
  <c r="K138" i="1"/>
  <c r="L138" i="1"/>
  <c r="M138" i="1"/>
  <c r="N138" i="1"/>
  <c r="C139" i="1"/>
  <c r="D139" i="1"/>
  <c r="G139" i="1"/>
  <c r="H139" i="1"/>
  <c r="I139" i="1"/>
  <c r="J139" i="1"/>
  <c r="K139" i="1"/>
  <c r="L139" i="1"/>
  <c r="M139" i="1"/>
  <c r="N139" i="1"/>
  <c r="N40" i="1"/>
  <c r="M40" i="1"/>
  <c r="L40" i="1"/>
  <c r="K40" i="1"/>
  <c r="J40" i="1"/>
  <c r="I40" i="1"/>
  <c r="H40" i="1"/>
  <c r="G40" i="1"/>
  <c r="D40" i="1"/>
  <c r="C40" i="1"/>
  <c r="B42" i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41" i="1"/>
  <c r="B40" i="1"/>
  <c r="Q137" i="1" l="1"/>
  <c r="Q133" i="1"/>
  <c r="Q129" i="1"/>
  <c r="Q125" i="1"/>
  <c r="Q121" i="1"/>
  <c r="Q117" i="1"/>
  <c r="Q113" i="1"/>
  <c r="Q109" i="1"/>
  <c r="Q101" i="1"/>
  <c r="Q93" i="1"/>
  <c r="Q85" i="1"/>
  <c r="Q77" i="1"/>
  <c r="Q69" i="1"/>
  <c r="Q61" i="1"/>
  <c r="Q53" i="1"/>
  <c r="Q45" i="1"/>
  <c r="Q139" i="1"/>
  <c r="Q135" i="1"/>
  <c r="Q131" i="1"/>
  <c r="Q127" i="1"/>
  <c r="Q123" i="1"/>
  <c r="Q119" i="1"/>
  <c r="Q115" i="1"/>
  <c r="Q111" i="1"/>
  <c r="Q105" i="1"/>
  <c r="Q97" i="1"/>
  <c r="Q89" i="1"/>
  <c r="Q81" i="1"/>
  <c r="Q73" i="1"/>
  <c r="Q65" i="1"/>
  <c r="Q57" i="1"/>
  <c r="Q49" i="1"/>
  <c r="Q41" i="1"/>
  <c r="Q138" i="1"/>
  <c r="Q134" i="1"/>
  <c r="Q130" i="1"/>
  <c r="Q126" i="1"/>
  <c r="Q122" i="1"/>
  <c r="Q118" i="1"/>
  <c r="Q114" i="1"/>
  <c r="Q110" i="1"/>
  <c r="Q103" i="1"/>
  <c r="Q95" i="1"/>
  <c r="Q87" i="1"/>
  <c r="Q79" i="1"/>
  <c r="Q71" i="1"/>
  <c r="Q63" i="1"/>
  <c r="Q55" i="1"/>
  <c r="Q47" i="1"/>
  <c r="Q39" i="1"/>
  <c r="Q136" i="1"/>
  <c r="Q132" i="1"/>
  <c r="Q128" i="1"/>
  <c r="Q124" i="1"/>
  <c r="Q120" i="1"/>
  <c r="Q116" i="1"/>
  <c r="Q112" i="1"/>
  <c r="Q107" i="1"/>
  <c r="Q99" i="1"/>
  <c r="Q91" i="1"/>
  <c r="Q83" i="1"/>
  <c r="Q75" i="1"/>
  <c r="Q67" i="1"/>
  <c r="Q59" i="1"/>
  <c r="Q51" i="1"/>
  <c r="Q43" i="1"/>
  <c r="Q108" i="1"/>
  <c r="Q106" i="1"/>
  <c r="Q104" i="1"/>
  <c r="Q102" i="1"/>
  <c r="Q100" i="1"/>
  <c r="Q98" i="1"/>
  <c r="Q96" i="1"/>
  <c r="Q94" i="1"/>
  <c r="Q92" i="1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64" i="1"/>
  <c r="Q62" i="1"/>
  <c r="Q60" i="1"/>
  <c r="Q58" i="1"/>
  <c r="Q56" i="1"/>
  <c r="Q54" i="1"/>
  <c r="Q52" i="1"/>
  <c r="Q50" i="1"/>
  <c r="Q48" i="1"/>
  <c r="Q46" i="1"/>
  <c r="Q44" i="1"/>
  <c r="Q42" i="1"/>
  <c r="Q40" i="1"/>
  <c r="P138" i="1"/>
  <c r="P136" i="1"/>
  <c r="P134" i="1"/>
  <c r="P132" i="1"/>
  <c r="P130" i="1"/>
  <c r="P128" i="1"/>
  <c r="P126" i="1"/>
  <c r="P124" i="1"/>
  <c r="P122" i="1"/>
  <c r="P120" i="1"/>
  <c r="P118" i="1"/>
  <c r="P116" i="1"/>
  <c r="P114" i="1"/>
  <c r="P112" i="1"/>
  <c r="P110" i="1"/>
  <c r="P108" i="1"/>
  <c r="P106" i="1"/>
  <c r="P104" i="1"/>
  <c r="P102" i="1"/>
  <c r="P100" i="1"/>
  <c r="P98" i="1"/>
  <c r="P96" i="1"/>
  <c r="P94" i="1"/>
  <c r="P92" i="1"/>
  <c r="P90" i="1"/>
  <c r="P88" i="1"/>
  <c r="P86" i="1"/>
  <c r="P84" i="1"/>
  <c r="P82" i="1"/>
  <c r="P80" i="1"/>
  <c r="P78" i="1"/>
  <c r="P76" i="1"/>
  <c r="P74" i="1"/>
  <c r="P72" i="1"/>
  <c r="P70" i="1"/>
  <c r="P68" i="1"/>
  <c r="P66" i="1"/>
  <c r="P64" i="1"/>
  <c r="P62" i="1"/>
  <c r="P60" i="1"/>
  <c r="P58" i="1"/>
  <c r="P56" i="1"/>
  <c r="P54" i="1"/>
  <c r="P52" i="1"/>
  <c r="P50" i="1"/>
  <c r="P48" i="1"/>
  <c r="P46" i="1"/>
  <c r="P44" i="1"/>
  <c r="P42" i="1"/>
  <c r="P40" i="1"/>
  <c r="P139" i="1"/>
  <c r="P137" i="1"/>
  <c r="P135" i="1"/>
  <c r="P133" i="1"/>
  <c r="P131" i="1"/>
  <c r="P129" i="1"/>
  <c r="P127" i="1"/>
  <c r="P125" i="1"/>
  <c r="P123" i="1"/>
  <c r="P121" i="1"/>
  <c r="P119" i="1"/>
  <c r="P117" i="1"/>
  <c r="P115" i="1"/>
  <c r="P113" i="1"/>
  <c r="P111" i="1"/>
  <c r="P109" i="1"/>
  <c r="P107" i="1"/>
  <c r="P105" i="1"/>
  <c r="P103" i="1"/>
  <c r="P101" i="1"/>
  <c r="P99" i="1"/>
  <c r="P97" i="1"/>
  <c r="P95" i="1"/>
  <c r="P93" i="1"/>
  <c r="P91" i="1"/>
  <c r="P89" i="1"/>
  <c r="P87" i="1"/>
  <c r="P85" i="1"/>
  <c r="P83" i="1"/>
  <c r="P81" i="1"/>
  <c r="P79" i="1"/>
  <c r="P77" i="1"/>
  <c r="P75" i="1"/>
  <c r="P73" i="1"/>
  <c r="P71" i="1"/>
  <c r="P69" i="1"/>
  <c r="P67" i="1"/>
  <c r="P65" i="1"/>
  <c r="P63" i="1"/>
  <c r="P61" i="1"/>
  <c r="P59" i="1"/>
  <c r="P57" i="1"/>
  <c r="P55" i="1"/>
  <c r="P53" i="1"/>
  <c r="P51" i="1"/>
  <c r="P49" i="1"/>
  <c r="P47" i="1"/>
  <c r="P45" i="1"/>
  <c r="P43" i="1"/>
  <c r="P41" i="1"/>
  <c r="C193" i="1"/>
  <c r="C191" i="1"/>
  <c r="C189" i="1"/>
  <c r="C187" i="1"/>
  <c r="C185" i="1"/>
  <c r="C183" i="1"/>
  <c r="C181" i="1"/>
  <c r="B193" i="1"/>
  <c r="B191" i="1"/>
  <c r="B189" i="1"/>
  <c r="B187" i="1"/>
  <c r="B185" i="1"/>
  <c r="B183" i="1"/>
  <c r="B181" i="1"/>
  <c r="B192" i="1"/>
  <c r="B190" i="1"/>
  <c r="B188" i="1"/>
  <c r="B186" i="1"/>
  <c r="B184" i="1"/>
  <c r="B182" i="1"/>
  <c r="K154" i="1"/>
  <c r="J154" i="1" s="1"/>
  <c r="I154" i="1" s="1"/>
  <c r="H154" i="1" s="1"/>
  <c r="G154" i="1" s="1"/>
  <c r="F154" i="1" s="1"/>
  <c r="E154" i="1" s="1"/>
  <c r="D154" i="1" s="1"/>
  <c r="C154" i="1" s="1"/>
  <c r="B154" i="1" s="1"/>
  <c r="L153" i="1"/>
  <c r="K153" i="1" s="1"/>
  <c r="J153" i="1" s="1"/>
  <c r="I153" i="1" s="1"/>
  <c r="H153" i="1" s="1"/>
  <c r="G153" i="1" s="1"/>
  <c r="F153" i="1" s="1"/>
  <c r="E153" i="1" s="1"/>
  <c r="D153" i="1" s="1"/>
  <c r="C153" i="1" s="1"/>
  <c r="B153" i="1" s="1"/>
  <c r="K145" i="1"/>
  <c r="L152" i="1"/>
  <c r="K149" i="1"/>
  <c r="J149" i="1" s="1"/>
  <c r="L146" i="1"/>
  <c r="L147" i="1"/>
  <c r="K147" i="1" s="1"/>
  <c r="J147" i="1" s="1"/>
  <c r="L144" i="1"/>
  <c r="K144" i="1" s="1"/>
  <c r="J144" i="1" s="1"/>
  <c r="L150" i="1"/>
  <c r="K150" i="1" s="1"/>
  <c r="L143" i="1"/>
  <c r="K143" i="1" s="1"/>
  <c r="J143" i="1" s="1"/>
  <c r="I143" i="1" s="1"/>
  <c r="K152" i="1" l="1"/>
  <c r="J152" i="1" s="1"/>
  <c r="I152" i="1" s="1"/>
  <c r="H152" i="1" s="1"/>
  <c r="G152" i="1" s="1"/>
  <c r="F152" i="1" s="1"/>
  <c r="E152" i="1" s="1"/>
  <c r="D152" i="1" s="1"/>
  <c r="C152" i="1" s="1"/>
  <c r="B152" i="1" s="1"/>
  <c r="I147" i="1"/>
  <c r="H147" i="1" s="1"/>
  <c r="K151" i="1"/>
  <c r="J151" i="1" s="1"/>
  <c r="I151" i="1" s="1"/>
  <c r="H151" i="1" s="1"/>
  <c r="G151" i="1" s="1"/>
  <c r="F151" i="1" s="1"/>
  <c r="E151" i="1" s="1"/>
  <c r="D151" i="1" s="1"/>
  <c r="C151" i="1" s="1"/>
  <c r="B151" i="1" s="1"/>
  <c r="J145" i="1"/>
  <c r="I145" i="1" s="1"/>
  <c r="H145" i="1" s="1"/>
  <c r="G145" i="1" s="1"/>
  <c r="F145" i="1" s="1"/>
  <c r="J148" i="1"/>
  <c r="I148" i="1" s="1"/>
  <c r="K146" i="1"/>
  <c r="J146" i="1" s="1"/>
  <c r="I146" i="1" s="1"/>
  <c r="H146" i="1" s="1"/>
  <c r="G146" i="1" s="1"/>
  <c r="J150" i="1" l="1"/>
  <c r="I144" i="1"/>
  <c r="H144" i="1" l="1"/>
  <c r="G144" i="1" s="1"/>
  <c r="F144" i="1" s="1"/>
  <c r="E144" i="1" s="1"/>
  <c r="H143" i="1"/>
  <c r="G143" i="1" s="1"/>
  <c r="F143" i="1" s="1"/>
  <c r="E143" i="1" s="1"/>
  <c r="D143" i="1" s="1"/>
  <c r="I150" i="1"/>
  <c r="H150" i="1" s="1"/>
  <c r="G150" i="1" s="1"/>
  <c r="F150" i="1" s="1"/>
  <c r="E150" i="1" s="1"/>
  <c r="D150" i="1" s="1"/>
  <c r="C150" i="1" s="1"/>
  <c r="B150" i="1" s="1"/>
  <c r="I149" i="1"/>
  <c r="H149" i="1" l="1"/>
  <c r="G149" i="1" s="1"/>
  <c r="F149" i="1" s="1"/>
  <c r="E149" i="1" s="1"/>
  <c r="D149" i="1" s="1"/>
  <c r="C149" i="1" s="1"/>
  <c r="B149" i="1" s="1"/>
  <c r="H148" i="1"/>
  <c r="G148" i="1" l="1"/>
  <c r="F148" i="1" s="1"/>
  <c r="E148" i="1" s="1"/>
  <c r="D148" i="1" s="1"/>
  <c r="C148" i="1" s="1"/>
  <c r="B148" i="1" s="1"/>
  <c r="G147" i="1"/>
  <c r="F147" i="1" l="1"/>
  <c r="E147" i="1" s="1"/>
  <c r="D147" i="1" s="1"/>
  <c r="C147" i="1" s="1"/>
  <c r="B147" i="1" s="1"/>
  <c r="F146" i="1"/>
  <c r="E146" i="1" l="1"/>
  <c r="D146" i="1" s="1"/>
  <c r="C146" i="1" s="1"/>
  <c r="B146" i="1" s="1"/>
  <c r="E145" i="1"/>
  <c r="D145" i="1" l="1"/>
  <c r="C145" i="1" s="1"/>
  <c r="B145" i="1" s="1"/>
  <c r="D144" i="1"/>
  <c r="C144" i="1" l="1"/>
  <c r="B144" i="1" s="1"/>
  <c r="C143" i="1"/>
  <c r="B143" i="1" s="1"/>
</calcChain>
</file>

<file path=xl/sharedStrings.xml><?xml version="1.0" encoding="utf-8"?>
<sst xmlns="http://schemas.openxmlformats.org/spreadsheetml/2006/main" count="73" uniqueCount="47">
  <si>
    <t>x</t>
  </si>
  <si>
    <t>y</t>
  </si>
  <si>
    <r>
      <t>p</t>
    </r>
    <r>
      <rPr>
        <b/>
        <vertAlign val="subscript"/>
        <sz val="9"/>
        <rFont val="Arial"/>
        <family val="2"/>
      </rPr>
      <t>0</t>
    </r>
  </si>
  <si>
    <r>
      <t>p</t>
    </r>
    <r>
      <rPr>
        <b/>
        <vertAlign val="subscript"/>
        <sz val="9"/>
        <rFont val="Arial"/>
        <family val="2"/>
      </rPr>
      <t>1</t>
    </r>
  </si>
  <si>
    <r>
      <t>p</t>
    </r>
    <r>
      <rPr>
        <b/>
        <vertAlign val="subscript"/>
        <sz val="9"/>
        <rFont val="Arial"/>
        <family val="2"/>
      </rPr>
      <t>2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</si>
  <si>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3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</si>
  <si>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4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</si>
  <si>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5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</si>
  <si>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6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</si>
  <si>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7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</si>
  <si>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8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</si>
  <si>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9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</si>
  <si>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10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</si>
  <si>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11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</si>
  <si>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12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</si>
  <si>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13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</si>
  <si>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14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</si>
  <si>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15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</si>
  <si>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16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</si>
  <si>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17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</si>
  <si>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18</t>
    </r>
    <r>
      <rPr>
        <sz val="10"/>
        <rFont val="Arial"/>
        <family val="2"/>
      </rPr>
      <t/>
    </r>
  </si>
  <si>
    <t>Fill your name and set number here(Cell A1) And Activate Content</t>
  </si>
  <si>
    <t>asgn6student.201010.xlsm</t>
  </si>
  <si>
    <t>COMP 4560:  Laboratory Assignment #6 (201110)</t>
  </si>
  <si>
    <r>
      <t>p</t>
    </r>
    <r>
      <rPr>
        <b/>
        <vertAlign val="subscript"/>
        <sz val="9"/>
        <rFont val="Arial"/>
        <family val="2"/>
      </rPr>
      <t>19</t>
    </r>
    <r>
      <rPr>
        <sz val="10"/>
        <rFont val="Arial"/>
        <family val="2"/>
      </rPr>
      <t/>
    </r>
  </si>
  <si>
    <t>asgn6student.201110.xlsm</t>
  </si>
  <si>
    <t>asgn7student.201110.xlsm</t>
  </si>
  <si>
    <t>asgn7student.201530.xlsm</t>
  </si>
  <si>
    <t>Leon 4D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</si>
  <si>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</si>
  <si>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</si>
  <si>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</si>
  <si>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</si>
  <si>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</si>
  <si>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</si>
  <si>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</si>
  <si>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</si>
  <si>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</si>
  <si>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</si>
  <si>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</si>
  <si>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</si>
  <si>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</si>
  <si>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</si>
  <si>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B Matrix Step 1</t>
  </si>
  <si>
    <t>B*P</t>
  </si>
  <si>
    <t>B</t>
  </si>
  <si>
    <t>Jens Christiansen Set 4D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</si>
</sst>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vertAlign val="subscript"/>
      <sz val="9"/>
      <name val="Arial"/>
      <family val="2"/>
    </font>
    <font>
      <sz val="10"/>
      <color indexed="9"/>
      <name val="Arial"/>
      <family val="2"/>
    </font>
    <font>
      <b/>
      <sz val="22"/>
      <color indexed="10"/>
      <name val="Arial"/>
      <family val="2"/>
    </font>
    <font>
      <sz val="10"/>
      <color indexed="9"/>
      <name val="Arial"/>
      <family val="2"/>
    </font>
    <font>
      <sz val="10"/>
      <color indexed="9"/>
      <name val="Arial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22" fontId="6" fillId="0" borderId="0" xfId="0" applyNumberFormat="1" applyFont="1"/>
    <xf numFmtId="0" fontId="6" fillId="0" borderId="0" xfId="0" applyFont="1"/>
    <xf numFmtId="0" fontId="0" fillId="0" borderId="3" xfId="0" applyFill="1" applyBorder="1"/>
    <xf numFmtId="0" fontId="0" fillId="0" borderId="4" xfId="0" applyFill="1" applyBorder="1"/>
    <xf numFmtId="0" fontId="0" fillId="0" borderId="0" xfId="0" applyAlignment="1">
      <alignment horizontal="right"/>
    </xf>
    <xf numFmtId="0" fontId="7" fillId="0" borderId="0" xfId="0" applyFont="1"/>
    <xf numFmtId="0" fontId="0" fillId="0" borderId="5" xfId="0" applyFill="1" applyBorder="1"/>
    <xf numFmtId="0" fontId="0" fillId="0" borderId="6" xfId="0" applyFill="1" applyBorder="1"/>
    <xf numFmtId="0" fontId="0" fillId="0" borderId="0" xfId="0" applyBorder="1"/>
    <xf numFmtId="0" fontId="0" fillId="0" borderId="0" xfId="0" applyFill="1" applyBorder="1"/>
    <xf numFmtId="0" fontId="0" fillId="0" borderId="7" xfId="0" applyBorder="1"/>
    <xf numFmtId="0" fontId="0" fillId="0" borderId="8" xfId="0" applyBorder="1"/>
    <xf numFmtId="22" fontId="8" fillId="0" borderId="0" xfId="0" applyNumberFormat="1" applyFont="1"/>
    <xf numFmtId="0" fontId="8" fillId="0" borderId="0" xfId="0" applyFont="1"/>
    <xf numFmtId="0" fontId="0" fillId="0" borderId="9" xfId="0" applyBorder="1"/>
    <xf numFmtId="0" fontId="0" fillId="0" borderId="5" xfId="0" applyBorder="1"/>
    <xf numFmtId="0" fontId="0" fillId="0" borderId="10" xfId="0" applyBorder="1"/>
    <xf numFmtId="0" fontId="0" fillId="0" borderId="6" xfId="0" applyBorder="1"/>
    <xf numFmtId="0" fontId="2" fillId="0" borderId="0" xfId="0" applyFont="1"/>
    <xf numFmtId="22" fontId="9" fillId="0" borderId="0" xfId="0" applyNumberFormat="1" applyFont="1"/>
    <xf numFmtId="0" fontId="9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12846837056383"/>
          <c:y val="6.9892656598246103E-2"/>
          <c:w val="0.8358995289952148"/>
          <c:h val="0.8556207084185831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Main!$B$6:$B$24</c:f>
              <c:numCache>
                <c:formatCode>General</c:formatCode>
                <c:ptCount val="19"/>
                <c:pt idx="0">
                  <c:v>80</c:v>
                </c:pt>
                <c:pt idx="1">
                  <c:v>50</c:v>
                </c:pt>
                <c:pt idx="2">
                  <c:v>10</c:v>
                </c:pt>
                <c:pt idx="3">
                  <c:v>50</c:v>
                </c:pt>
                <c:pt idx="4">
                  <c:v>80</c:v>
                </c:pt>
                <c:pt idx="5">
                  <c:v>100</c:v>
                </c:pt>
                <c:pt idx="6">
                  <c:v>80</c:v>
                </c:pt>
                <c:pt idx="7">
                  <c:v>50</c:v>
                </c:pt>
                <c:pt idx="8">
                  <c:v>30</c:v>
                </c:pt>
                <c:pt idx="9">
                  <c:v>90</c:v>
                </c:pt>
                <c:pt idx="10">
                  <c:v>90</c:v>
                </c:pt>
                <c:pt idx="11">
                  <c:v>50</c:v>
                </c:pt>
                <c:pt idx="12">
                  <c:v>20</c:v>
                </c:pt>
                <c:pt idx="13">
                  <c:v>20</c:v>
                </c:pt>
              </c:numCache>
            </c:numRef>
          </c:xVal>
          <c:yVal>
            <c:numRef>
              <c:f>Main!$C$6:$C$24</c:f>
              <c:numCache>
                <c:formatCode>General</c:formatCode>
                <c:ptCount val="19"/>
                <c:pt idx="0">
                  <c:v>30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60</c:v>
                </c:pt>
                <c:pt idx="10">
                  <c:v>100</c:v>
                </c:pt>
                <c:pt idx="11">
                  <c:v>110</c:v>
                </c:pt>
                <c:pt idx="12">
                  <c:v>85</c:v>
                </c:pt>
                <c:pt idx="13">
                  <c:v>60</c:v>
                </c:pt>
              </c:numCache>
            </c:numRef>
          </c:yVal>
          <c:smooth val="0"/>
        </c:ser>
        <c:ser>
          <c:idx val="1"/>
          <c:order val="1"/>
          <c:tx>
            <c:v>Bezier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Main!$P$39:$P$139</c:f>
              <c:numCache>
                <c:formatCode>General</c:formatCode>
                <c:ptCount val="101"/>
                <c:pt idx="0">
                  <c:v>80</c:v>
                </c:pt>
                <c:pt idx="1">
                  <c:v>76.046487089932299</c:v>
                </c:pt>
                <c:pt idx="2">
                  <c:v>72.074398423157191</c:v>
                </c:pt>
                <c:pt idx="3">
                  <c:v>68.196710851760116</c:v>
                </c:pt>
                <c:pt idx="4">
                  <c:v>64.502890573815819</c:v>
                </c:pt>
                <c:pt idx="5">
                  <c:v>61.062016553860985</c:v>
                </c:pt>
                <c:pt idx="6">
                  <c:v>57.925555941248888</c:v>
                </c:pt>
                <c:pt idx="7">
                  <c:v>55.129828233749492</c:v>
                </c:pt>
                <c:pt idx="8">
                  <c:v>52.698191353137965</c:v>
                </c:pt>
                <c:pt idx="9">
                  <c:v>50.642979520173554</c:v>
                </c:pt>
                <c:pt idx="10">
                  <c:v>48.967219815886999</c:v>
                </c:pt>
                <c:pt idx="11">
                  <c:v>47.666151573577089</c:v>
                </c:pt>
                <c:pt idx="12">
                  <c:v>46.728570241942343</c:v>
                </c:pt>
                <c:pt idx="13">
                  <c:v>46.138015076290728</c:v>
                </c:pt>
                <c:pt idx="14">
                  <c:v>45.873817935031951</c:v>
                </c:pt>
                <c:pt idx="15">
                  <c:v>45.912028567132154</c:v>
                </c:pt>
                <c:pt idx="16">
                  <c:v>46.226230058526305</c:v>
                </c:pt>
                <c:pt idx="17">
                  <c:v>46.788256548327944</c:v>
                </c:pt>
                <c:pt idx="18">
                  <c:v>47.568823916759207</c:v>
                </c:pt>
                <c:pt idx="19">
                  <c:v>48.538082874679844</c:v>
                </c:pt>
                <c:pt idx="20">
                  <c:v>49.666102738943991</c:v>
                </c:pt>
                <c:pt idx="21">
                  <c:v>50.923293148877114</c:v>
                </c:pt>
                <c:pt idx="22">
                  <c:v>52.280770058022007</c:v>
                </c:pt>
                <c:pt idx="23">
                  <c:v>53.710671513721955</c:v>
                </c:pt>
                <c:pt idx="24">
                  <c:v>55.186428007491784</c:v>
                </c:pt>
                <c:pt idx="25">
                  <c:v>56.682991534471526</c:v>
                </c:pt>
                <c:pt idx="26">
                  <c:v>58.177026934074831</c:v>
                </c:pt>
                <c:pt idx="27">
                  <c:v>59.647068590251948</c:v>
                </c:pt>
                <c:pt idx="28">
                  <c:v>61.07364514302067</c:v>
                </c:pt>
                <c:pt idx="29">
                  <c:v>62.439374497930011</c:v>
                </c:pt>
                <c:pt idx="30">
                  <c:v>63.729031112080882</c:v>
                </c:pt>
                <c:pt idx="31">
                  <c:v>64.929587279767489</c:v>
                </c:pt>
                <c:pt idx="32">
                  <c:v>66.030229933482261</c:v>
                </c:pt>
                <c:pt idx="33">
                  <c:v>67.022354312988298</c:v>
                </c:pt>
                <c:pt idx="34">
                  <c:v>67.899535732618432</c:v>
                </c:pt>
                <c:pt idx="35">
                  <c:v>68.657480591359828</c:v>
                </c:pt>
                <c:pt idx="36">
                  <c:v>69.293957718145251</c:v>
                </c:pt>
                <c:pt idx="37">
                  <c:v>69.808711122860799</c:v>
                </c:pt>
                <c:pt idx="38">
                  <c:v>70.20335522861312</c:v>
                </c:pt>
                <c:pt idx="39">
                  <c:v>70.481253689751341</c:v>
                </c:pt>
                <c:pt idx="40">
                  <c:v>70.647382949887728</c:v>
                </c:pt>
                <c:pt idx="41">
                  <c:v>70.708181761775961</c:v>
                </c:pt>
                <c:pt idx="42">
                  <c:v>70.671387973361206</c:v>
                </c:pt>
                <c:pt idx="43">
                  <c:v>70.545863978767684</c:v>
                </c:pt>
                <c:pt idx="44">
                  <c:v>70.341412336438651</c:v>
                </c:pt>
                <c:pt idx="45">
                  <c:v>70.068583166243229</c:v>
                </c:pt>
                <c:pt idx="46">
                  <c:v>69.738475050265166</c:v>
                </c:pt>
                <c:pt idx="47">
                  <c:v>69.362531275118471</c:v>
                </c:pt>
                <c:pt idx="48">
                  <c:v>68.952333364478662</c:v>
                </c:pt>
                <c:pt idx="49">
                  <c:v>68.519393955732667</c:v>
                </c:pt>
                <c:pt idx="50">
                  <c:v>68.074951171874048</c:v>
                </c:pt>
                <c:pt idx="51">
                  <c:v>67.62976672580109</c:v>
                </c:pt>
                <c:pt idx="52">
                  <c:v>67.193930066413145</c:v>
                </c:pt>
                <c:pt idx="53">
                  <c:v>66.77667093168148</c:v>
                </c:pt>
                <c:pt idx="54">
                  <c:v>66.386182710107462</c:v>
                </c:pt>
                <c:pt idx="55">
                  <c:v>66.029459026800325</c:v>
                </c:pt>
                <c:pt idx="56">
                  <c:v>65.712145960417473</c:v>
                </c:pt>
                <c:pt idx="57">
                  <c:v>65.43841226087693</c:v>
                </c:pt>
                <c:pt idx="58">
                  <c:v>65.210839872119763</c:v>
                </c:pt>
                <c:pt idx="59">
                  <c:v>65.030336967962882</c:v>
                </c:pt>
                <c:pt idx="60">
                  <c:v>64.896075579387968</c:v>
                </c:pt>
                <c:pt idx="61">
                  <c:v>64.805455728007274</c:v>
                </c:pt>
                <c:pt idx="62">
                  <c:v>64.754097780511231</c:v>
                </c:pt>
                <c:pt idx="63">
                  <c:v>64.735864502421236</c:v>
                </c:pt>
                <c:pt idx="64">
                  <c:v>64.742914014695316</c:v>
                </c:pt>
                <c:pt idx="65">
                  <c:v>64.765784545193242</c:v>
                </c:pt>
                <c:pt idx="66">
                  <c:v>64.793511515789305</c:v>
                </c:pt>
                <c:pt idx="67">
                  <c:v>64.813777119191798</c:v>
                </c:pt>
                <c:pt idx="68">
                  <c:v>64.813092115462155</c:v>
                </c:pt>
                <c:pt idx="69">
                  <c:v>64.777009119488866</c:v>
                </c:pt>
                <c:pt idx="70">
                  <c:v>64.690366160537337</c:v>
                </c:pt>
                <c:pt idx="71">
                  <c:v>64.53755877416711</c:v>
                </c:pt>
                <c:pt idx="72">
                  <c:v>64.302838341223946</c:v>
                </c:pt>
                <c:pt idx="73">
                  <c:v>63.970633821938463</c:v>
                </c:pt>
                <c:pt idx="74">
                  <c:v>63.525893449015143</c:v>
                </c:pt>
                <c:pt idx="75">
                  <c:v>62.954442352075375</c:v>
                </c:pt>
                <c:pt idx="76">
                  <c:v>62.243351489256611</c:v>
                </c:pt>
                <c:pt idx="77">
                  <c:v>61.3813126743471</c:v>
                </c:pt>
                <c:pt idx="78">
                  <c:v>60.359013911466491</c:v>
                </c:pt>
                <c:pt idx="79">
                  <c:v>59.169508702342227</c:v>
                </c:pt>
                <c:pt idx="80">
                  <c:v>57.808572481529609</c:v>
                </c:pt>
                <c:pt idx="81">
                  <c:v>56.27503887270359</c:v>
                </c:pt>
                <c:pt idx="82">
                  <c:v>54.571108068499598</c:v>
                </c:pt>
                <c:pt idx="83">
                  <c:v>52.702619321723432</c:v>
                </c:pt>
                <c:pt idx="84">
                  <c:v>50.679279326061987</c:v>
                </c:pt>
                <c:pt idx="85">
                  <c:v>48.514838167531707</c:v>
                </c:pt>
                <c:pt idx="86">
                  <c:v>46.227204579959107</c:v>
                </c:pt>
                <c:pt idx="87">
                  <c:v>43.838492444559961</c:v>
                </c:pt>
                <c:pt idx="88">
                  <c:v>41.374990874577634</c:v>
                </c:pt>
                <c:pt idx="89">
                  <c:v>38.86705084372079</c:v>
                </c:pt>
                <c:pt idx="90">
                  <c:v>36.348882172273079</c:v>
                </c:pt>
                <c:pt idx="91">
                  <c:v>33.858255830777125</c:v>
                </c:pt>
                <c:pt idx="92">
                  <c:v>31.436107958370485</c:v>
                </c:pt>
                <c:pt idx="93">
                  <c:v>29.126043800753905</c:v>
                </c:pt>
                <c:pt idx="94">
                  <c:v>26.973741946563678</c:v>
                </c:pt>
                <c:pt idx="95">
                  <c:v>25.026261852846801</c:v>
                </c:pt>
                <c:pt idx="96">
                  <c:v>23.331260735882097</c:v>
                </c:pt>
                <c:pt idx="97">
                  <c:v>21.93612950550596</c:v>
                </c:pt>
                <c:pt idx="98">
                  <c:v>20.887061594294209</c:v>
                </c:pt>
                <c:pt idx="99">
                  <c:v>20.228073332596978</c:v>
                </c:pt>
                <c:pt idx="100">
                  <c:v>19.999999999919964</c:v>
                </c:pt>
              </c:numCache>
            </c:numRef>
          </c:xVal>
          <c:yVal>
            <c:numRef>
              <c:f>Main!$Q$39:$Q$139</c:f>
              <c:numCache>
                <c:formatCode>General</c:formatCode>
                <c:ptCount val="101"/>
                <c:pt idx="0">
                  <c:v>30</c:v>
                </c:pt>
                <c:pt idx="1">
                  <c:v>31.077293291388646</c:v>
                </c:pt>
                <c:pt idx="2">
                  <c:v>31.753118070623042</c:v>
                </c:pt>
                <c:pt idx="3">
                  <c:v>32.090466913367472</c:v>
                </c:pt>
                <c:pt idx="4">
                  <c:v>32.148197722007339</c:v>
                </c:pt>
                <c:pt idx="5">
                  <c:v>31.980814873272937</c:v>
                </c:pt>
                <c:pt idx="6">
                  <c:v>31.63833211942308</c:v>
                </c:pt>
                <c:pt idx="7">
                  <c:v>31.166208196969983</c:v>
                </c:pt>
                <c:pt idx="8">
                  <c:v>30.605346538658907</c:v>
                </c:pt>
                <c:pt idx="9">
                  <c:v>29.992150944254</c:v>
                </c:pt>
                <c:pt idx="10">
                  <c:v>29.35862953847251</c:v>
                </c:pt>
                <c:pt idx="11">
                  <c:v>28.732539825417213</c:v>
                </c:pt>
                <c:pt idx="12">
                  <c:v>28.137568133751309</c:v>
                </c:pt>
                <c:pt idx="13">
                  <c:v>27.593537231695674</c:v>
                </c:pt>
                <c:pt idx="14">
                  <c:v>27.116636372139482</c:v>
                </c:pt>
                <c:pt idx="15">
                  <c:v>26.719668502526577</c:v>
                </c:pt>
                <c:pt idx="16">
                  <c:v>26.412309838849573</c:v>
                </c:pt>
                <c:pt idx="17">
                  <c:v>26.201377455510968</c:v>
                </c:pt>
                <c:pt idx="18">
                  <c:v>26.0911009807776</c:v>
                </c:pt>
                <c:pt idx="19">
                  <c:v>26.083394909137745</c:v>
                </c:pt>
                <c:pt idx="20">
                  <c:v>26.178128445439985</c:v>
                </c:pt>
                <c:pt idx="21">
                  <c:v>26.373390179885813</c:v>
                </c:pt>
                <c:pt idx="22">
                  <c:v>26.66574525666578</c:v>
                </c:pt>
                <c:pt idx="23">
                  <c:v>27.0504830414168</c:v>
                </c:pt>
                <c:pt idx="24">
                  <c:v>27.521853613110391</c:v>
                </c:pt>
                <c:pt idx="25">
                  <c:v>28.073291704058644</c:v>
                </c:pt>
                <c:pt idx="26">
                  <c:v>28.697626987244107</c:v>
                </c:pt>
                <c:pt idx="27">
                  <c:v>29.387279863136801</c:v>
                </c:pt>
                <c:pt idx="28">
                  <c:v>30.134442128729589</c:v>
                </c:pt>
                <c:pt idx="29">
                  <c:v>30.931242120042597</c:v>
                </c:pt>
                <c:pt idx="30">
                  <c:v>31.769894106307515</c:v>
                </c:pt>
                <c:pt idx="31">
                  <c:v>32.642831880085204</c:v>
                </c:pt>
                <c:pt idx="32">
                  <c:v>33.542826633450709</c:v>
                </c:pt>
                <c:pt idx="33">
                  <c:v>34.463089336984126</c:v>
                </c:pt>
                <c:pt idx="34">
                  <c:v>35.397357946614193</c:v>
                </c:pt>
                <c:pt idx="35">
                  <c:v>36.339969854453578</c:v>
                </c:pt>
                <c:pt idx="36">
                  <c:v>37.285920074792045</c:v>
                </c:pt>
                <c:pt idx="37">
                  <c:v>38.230905716605193</c:v>
                </c:pt>
                <c:pt idx="38">
                  <c:v>39.171357340578354</c:v>
                </c:pt>
                <c:pt idx="39">
                  <c:v>40.104457833046091</c:v>
                </c:pt>
                <c:pt idx="40">
                  <c:v>41.028149452799958</c:v>
                </c:pt>
                <c:pt idx="41">
                  <c:v>41.941129720770313</c:v>
                </c:pt>
                <c:pt idx="42">
                  <c:v>42.842836828566767</c:v>
                </c:pt>
                <c:pt idx="43">
                  <c:v>43.733425241144126</c:v>
                </c:pt>
                <c:pt idx="44">
                  <c:v>44.613732162838659</c:v>
                </c:pt>
                <c:pt idx="45">
                  <c:v>45.485235526066589</c:v>
                </c:pt>
                <c:pt idx="46">
                  <c:v>46.350004149405159</c:v>
                </c:pt>
                <c:pt idx="47">
                  <c:v>47.210640697915593</c:v>
                </c:pt>
                <c:pt idx="48">
                  <c:v>48.070218064608717</c:v>
                </c:pt>
                <c:pt idx="49">
                  <c:v>48.932209779123482</c:v>
                </c:pt>
                <c:pt idx="50">
                  <c:v>49.800415039062131</c:v>
                </c:pt>
                <c:pt idx="51">
                  <c:v>50.67887895203306</c:v>
                </c:pt>
                <c:pt idx="52">
                  <c:v>51.571808573234044</c:v>
                </c:pt>
                <c:pt idx="53">
                  <c:v>52.483485325197712</c:v>
                </c:pt>
                <c:pt idx="54">
                  <c:v>53.418174393789315</c:v>
                </c:pt>
                <c:pt idx="55">
                  <c:v>54.380031708409092</c:v>
                </c:pt>
                <c:pt idx="56">
                  <c:v>55.373009134899867</c:v>
                </c:pt>
                <c:pt idx="57">
                  <c:v>56.400758537449214</c:v>
                </c:pt>
                <c:pt idx="58">
                  <c:v>57.466535400738188</c:v>
                </c:pt>
                <c:pt idx="59">
                  <c:v>58.573102745997311</c:v>
                </c:pt>
                <c:pt idx="60">
                  <c:v>59.722636124160431</c:v>
                </c:pt>
                <c:pt idx="61">
                  <c:v>60.916630525746427</c:v>
                </c:pt>
                <c:pt idx="62">
                  <c:v>62.155810109948739</c:v>
                </c:pt>
                <c:pt idx="63">
                  <c:v>63.440041723896371</c:v>
                </c:pt>
                <c:pt idx="64">
                  <c:v>64.768253256524503</c:v>
                </c:pt>
                <c:pt idx="65">
                  <c:v>66.138357948401435</c:v>
                </c:pt>
                <c:pt idx="66">
                  <c:v>67.547185858722386</c:v>
                </c:pt>
                <c:pt idx="67">
                  <c:v>68.99042377076178</c:v>
                </c:pt>
                <c:pt idx="68">
                  <c:v>70.462564897066102</c:v>
                </c:pt>
                <c:pt idx="69">
                  <c:v>71.956869822229606</c:v>
                </c:pt>
                <c:pt idx="70">
                  <c:v>73.465340192977408</c:v>
                </c:pt>
                <c:pt idx="71">
                  <c:v>74.978706729488891</c:v>
                </c:pt>
                <c:pt idx="72">
                  <c:v>76.48643318577399</c:v>
                </c:pt>
                <c:pt idx="73">
                  <c:v>77.976737927616654</c:v>
                </c:pt>
                <c:pt idx="74">
                  <c:v>79.436634820702295</c:v>
                </c:pt>
                <c:pt idx="75">
                  <c:v>80.851995125406518</c:v>
                </c:pt>
                <c:pt idx="76">
                  <c:v>82.207632074922969</c:v>
                </c:pt>
                <c:pt idx="77">
                  <c:v>83.487409764938974</c:v>
                </c:pt>
                <c:pt idx="78">
                  <c:v>84.674377902896822</c:v>
                </c:pt>
                <c:pt idx="79">
                  <c:v>85.750933846622587</c:v>
                </c:pt>
                <c:pt idx="80">
                  <c:v>86.699013201925467</c:v>
                </c:pt>
                <c:pt idx="81">
                  <c:v>87.500310041110112</c:v>
                </c:pt>
                <c:pt idx="82">
                  <c:v>88.136527542788286</c:v>
                </c:pt>
                <c:pt idx="83">
                  <c:v>88.589659533083562</c:v>
                </c:pt>
                <c:pt idx="84">
                  <c:v>88.842303021621348</c:v>
                </c:pt>
                <c:pt idx="85">
                  <c:v>88.878001367538445</c:v>
                </c:pt>
                <c:pt idx="86">
                  <c:v>88.681617172045492</c:v>
                </c:pt>
                <c:pt idx="87">
                  <c:v>88.239733369911676</c:v>
                </c:pt>
                <c:pt idx="88">
                  <c:v>87.54108027203921</c:v>
                </c:pt>
                <c:pt idx="89">
                  <c:v>86.576985490448692</c:v>
                </c:pt>
                <c:pt idx="90">
                  <c:v>85.34184274302379</c:v>
                </c:pt>
                <c:pt idx="91">
                  <c:v>83.833594483321917</c:v>
                </c:pt>
                <c:pt idx="92">
                  <c:v>82.054222119086376</c:v>
                </c:pt>
                <c:pt idx="93">
                  <c:v>80.010236262379976</c:v>
                </c:pt>
                <c:pt idx="94">
                  <c:v>77.713157985848511</c:v>
                </c:pt>
                <c:pt idx="95">
                  <c:v>75.179980432430739</c:v>
                </c:pt>
                <c:pt idx="96">
                  <c:v>72.433598328381095</c:v>
                </c:pt>
                <c:pt idx="97">
                  <c:v>69.503190972352286</c:v>
                </c:pt>
                <c:pt idx="98">
                  <c:v>66.424542103726026</c:v>
                </c:pt>
                <c:pt idx="99">
                  <c:v>63.240277679439032</c:v>
                </c:pt>
                <c:pt idx="100">
                  <c:v>59.999999999996817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2521376"/>
        <c:axId val="-742532800"/>
      </c:scatterChart>
      <c:valAx>
        <c:axId val="-7425213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42532800"/>
        <c:crosses val="autoZero"/>
        <c:crossBetween val="midCat"/>
        <c:majorUnit val="10"/>
      </c:valAx>
      <c:valAx>
        <c:axId val="-742532800"/>
        <c:scaling>
          <c:orientation val="minMax"/>
          <c:max val="1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42521376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12846837056383"/>
          <c:y val="6.9892656598246103E-2"/>
          <c:w val="0.8358995289952148"/>
          <c:h val="0.8556207084185831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'Main (2)'!$B$6:$B$25</c:f>
              <c:numCache>
                <c:formatCode>General</c:formatCode>
                <c:ptCount val="20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100</c:v>
                </c:pt>
                <c:pt idx="5">
                  <c:v>80</c:v>
                </c:pt>
                <c:pt idx="6">
                  <c:v>85</c:v>
                </c:pt>
                <c:pt idx="7">
                  <c:v>75</c:v>
                </c:pt>
                <c:pt idx="8">
                  <c:v>85</c:v>
                </c:pt>
                <c:pt idx="9">
                  <c:v>105</c:v>
                </c:pt>
                <c:pt idx="10">
                  <c:v>105</c:v>
                </c:pt>
                <c:pt idx="11">
                  <c:v>85</c:v>
                </c:pt>
                <c:pt idx="12">
                  <c:v>65</c:v>
                </c:pt>
                <c:pt idx="13">
                  <c:v>80</c:v>
                </c:pt>
                <c:pt idx="14">
                  <c:v>75</c:v>
                </c:pt>
                <c:pt idx="15">
                  <c:v>90</c:v>
                </c:pt>
                <c:pt idx="16">
                  <c:v>80</c:v>
                </c:pt>
                <c:pt idx="17">
                  <c:v>60</c:v>
                </c:pt>
                <c:pt idx="18">
                  <c:v>30</c:v>
                </c:pt>
                <c:pt idx="19">
                  <c:v>20</c:v>
                </c:pt>
              </c:numCache>
            </c:numRef>
          </c:xVal>
          <c:yVal>
            <c:numRef>
              <c:f>'Main (2)'!$C$6:$C$25</c:f>
              <c:numCache>
                <c:formatCode>General</c:formatCode>
                <c:ptCount val="20"/>
                <c:pt idx="0">
                  <c:v>20</c:v>
                </c:pt>
                <c:pt idx="1">
                  <c:v>5</c:v>
                </c:pt>
                <c:pt idx="2">
                  <c:v>5</c:v>
                </c:pt>
                <c:pt idx="3">
                  <c:v>25</c:v>
                </c:pt>
                <c:pt idx="4">
                  <c:v>45</c:v>
                </c:pt>
                <c:pt idx="5">
                  <c:v>55</c:v>
                </c:pt>
                <c:pt idx="6">
                  <c:v>80</c:v>
                </c:pt>
                <c:pt idx="7">
                  <c:v>90</c:v>
                </c:pt>
                <c:pt idx="8">
                  <c:v>95</c:v>
                </c:pt>
                <c:pt idx="9">
                  <c:v>85</c:v>
                </c:pt>
                <c:pt idx="10">
                  <c:v>90</c:v>
                </c:pt>
                <c:pt idx="11">
                  <c:v>100</c:v>
                </c:pt>
                <c:pt idx="12">
                  <c:v>90</c:v>
                </c:pt>
                <c:pt idx="13">
                  <c:v>75</c:v>
                </c:pt>
                <c:pt idx="14">
                  <c:v>50</c:v>
                </c:pt>
                <c:pt idx="15">
                  <c:v>40</c:v>
                </c:pt>
                <c:pt idx="16">
                  <c:v>30</c:v>
                </c:pt>
                <c:pt idx="17">
                  <c:v>15</c:v>
                </c:pt>
                <c:pt idx="18">
                  <c:v>15</c:v>
                </c:pt>
                <c:pt idx="19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2523008"/>
        <c:axId val="-742522464"/>
      </c:scatterChart>
      <c:valAx>
        <c:axId val="-742523008"/>
        <c:scaling>
          <c:orientation val="minMax"/>
          <c:max val="1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2522464"/>
        <c:crosses val="autoZero"/>
        <c:crossBetween val="midCat"/>
        <c:majorUnit val="10"/>
      </c:valAx>
      <c:valAx>
        <c:axId val="-742522464"/>
        <c:scaling>
          <c:orientation val="minMax"/>
          <c:max val="11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742523008"/>
        <c:crosses val="autoZero"/>
        <c:crossBetween val="midCat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464820</xdr:colOff>
      <xdr:row>3</xdr:row>
      <xdr:rowOff>95251</xdr:rowOff>
    </xdr:from>
    <xdr:to>
      <xdr:col>15</xdr:col>
      <xdr:colOff>592666</xdr:colOff>
      <xdr:row>34</xdr:row>
      <xdr:rowOff>114301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591608</xdr:colOff>
      <xdr:row>3</xdr:row>
      <xdr:rowOff>95250</xdr:rowOff>
    </xdr:from>
    <xdr:to>
      <xdr:col>15</xdr:col>
      <xdr:colOff>592666</xdr:colOff>
      <xdr:row>47</xdr:row>
      <xdr:rowOff>105833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571499</xdr:colOff>
      <xdr:row>34</xdr:row>
      <xdr:rowOff>104775</xdr:rowOff>
    </xdr:from>
    <xdr:to>
      <xdr:col>7</xdr:col>
      <xdr:colOff>409574</xdr:colOff>
      <xdr:row>36</xdr:row>
      <xdr:rowOff>114300</xdr:rowOff>
    </xdr:to>
    <xdr:sp macro="" textlink="">
      <xdr:nvSpPr>
        <xdr:cNvPr id="3" name="TextBox 2"/>
        <xdr:cNvSpPr txBox="1"/>
      </xdr:nvSpPr>
      <xdr:spPr>
        <a:xfrm>
          <a:off x="4229099" y="6334125"/>
          <a:ext cx="447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600"/>
            <a:t>p</a:t>
          </a:r>
          <a:r>
            <a:rPr lang="en-CA" sz="1600" baseline="-25000"/>
            <a:t>19</a:t>
          </a:r>
        </a:p>
      </xdr:txBody>
    </xdr:sp>
    <xdr:clientData/>
  </xdr:twoCellAnchor>
  <xdr:twoCellAnchor>
    <xdr:from>
      <xdr:col>5</xdr:col>
      <xdr:colOff>428624</xdr:colOff>
      <xdr:row>34</xdr:row>
      <xdr:rowOff>152400</xdr:rowOff>
    </xdr:from>
    <xdr:to>
      <xdr:col>6</xdr:col>
      <xdr:colOff>266699</xdr:colOff>
      <xdr:row>37</xdr:row>
      <xdr:rowOff>0</xdr:rowOff>
    </xdr:to>
    <xdr:sp macro="" textlink="">
      <xdr:nvSpPr>
        <xdr:cNvPr id="6" name="TextBox 5"/>
        <xdr:cNvSpPr txBox="1"/>
      </xdr:nvSpPr>
      <xdr:spPr>
        <a:xfrm>
          <a:off x="3476624" y="6381750"/>
          <a:ext cx="447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600"/>
            <a:t>p</a:t>
          </a:r>
          <a:r>
            <a:rPr lang="en-CA" sz="1600" baseline="-250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selection activeCell="D17" sqref="D17"/>
    </sheetView>
  </sheetViews>
  <sheetFormatPr defaultRowHeight="13.2" x14ac:dyDescent="0.25"/>
  <cols>
    <col min="1" max="1" width="15.5546875" bestFit="1" customWidth="1"/>
  </cols>
  <sheetData>
    <row r="1" spans="1:3" x14ac:dyDescent="0.25">
      <c r="A1" s="8">
        <v>40625.55027777778</v>
      </c>
      <c r="B1" s="9" t="s">
        <v>22</v>
      </c>
      <c r="C1" s="9" t="s">
        <v>21</v>
      </c>
    </row>
    <row r="2" spans="1:3" x14ac:dyDescent="0.25">
      <c r="A2" s="8">
        <v>40630.523761574077</v>
      </c>
      <c r="B2" s="9" t="s">
        <v>25</v>
      </c>
      <c r="C2" s="9" t="s">
        <v>21</v>
      </c>
    </row>
    <row r="3" spans="1:3" x14ac:dyDescent="0.25">
      <c r="A3" s="8">
        <v>41606.530682870369</v>
      </c>
      <c r="B3" s="9" t="s">
        <v>26</v>
      </c>
      <c r="C3" s="9" t="s">
        <v>21</v>
      </c>
    </row>
    <row r="4" spans="1:3" x14ac:dyDescent="0.25">
      <c r="A4" s="20">
        <v>42341.363541666666</v>
      </c>
      <c r="B4" s="21" t="s">
        <v>27</v>
      </c>
      <c r="C4" s="21" t="s">
        <v>21</v>
      </c>
    </row>
    <row r="5" spans="1:3" x14ac:dyDescent="0.25">
      <c r="A5" s="8">
        <v>42341.414120370369</v>
      </c>
      <c r="B5" s="9" t="s">
        <v>27</v>
      </c>
      <c r="C5" s="9" t="s">
        <v>28</v>
      </c>
    </row>
    <row r="6" spans="1:3" x14ac:dyDescent="0.25">
      <c r="A6" s="27">
        <v>42341.418738425928</v>
      </c>
      <c r="B6" s="28" t="s">
        <v>27</v>
      </c>
      <c r="C6" s="28" t="s">
        <v>28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93"/>
  <sheetViews>
    <sheetView tabSelected="1" zoomScaleNormal="100" workbookViewId="0">
      <selection activeCell="A2" sqref="A2"/>
    </sheetView>
  </sheetViews>
  <sheetFormatPr defaultRowHeight="13.2" x14ac:dyDescent="0.25"/>
  <cols>
    <col min="2" max="2" width="11" customWidth="1"/>
    <col min="5" max="6" width="11" bestFit="1" customWidth="1"/>
    <col min="19" max="19" width="9.33203125" bestFit="1" customWidth="1"/>
    <col min="20" max="20" width="13.109375" bestFit="1" customWidth="1"/>
  </cols>
  <sheetData>
    <row r="1" spans="1:3" ht="28.2" x14ac:dyDescent="0.5">
      <c r="A1" s="13" t="s">
        <v>46</v>
      </c>
    </row>
    <row r="2" spans="1:3" ht="28.2" x14ac:dyDescent="0.5">
      <c r="A2" s="13"/>
    </row>
    <row r="3" spans="1:3" ht="17.399999999999999" x14ac:dyDescent="0.3">
      <c r="A3" s="1" t="s">
        <v>23</v>
      </c>
    </row>
    <row r="4" spans="1:3" ht="17.399999999999999" x14ac:dyDescent="0.3">
      <c r="A4" s="1"/>
    </row>
    <row r="5" spans="1:3" ht="13.8" thickBot="1" x14ac:dyDescent="0.3">
      <c r="B5" s="6" t="s">
        <v>0</v>
      </c>
      <c r="C5" s="6" t="s">
        <v>1</v>
      </c>
    </row>
    <row r="6" spans="1:3" ht="13.8" x14ac:dyDescent="0.3">
      <c r="A6" s="7" t="s">
        <v>2</v>
      </c>
      <c r="B6" s="2">
        <v>80</v>
      </c>
      <c r="C6" s="3">
        <v>30</v>
      </c>
    </row>
    <row r="7" spans="1:3" ht="13.8" x14ac:dyDescent="0.3">
      <c r="A7" s="7" t="s">
        <v>3</v>
      </c>
      <c r="B7" s="4">
        <v>50</v>
      </c>
      <c r="C7" s="5">
        <v>40</v>
      </c>
    </row>
    <row r="8" spans="1:3" ht="13.8" x14ac:dyDescent="0.3">
      <c r="A8" s="7" t="s">
        <v>4</v>
      </c>
      <c r="B8" s="4">
        <v>10</v>
      </c>
      <c r="C8" s="5">
        <v>20</v>
      </c>
    </row>
    <row r="9" spans="1:3" ht="13.8" x14ac:dyDescent="0.3">
      <c r="A9" s="7" t="s">
        <v>5</v>
      </c>
      <c r="B9" s="4">
        <v>50</v>
      </c>
      <c r="C9" s="5">
        <v>10</v>
      </c>
    </row>
    <row r="10" spans="1:3" ht="13.8" x14ac:dyDescent="0.3">
      <c r="A10" s="7" t="s">
        <v>6</v>
      </c>
      <c r="B10" s="4">
        <v>80</v>
      </c>
      <c r="C10" s="5">
        <v>30</v>
      </c>
    </row>
    <row r="11" spans="1:3" ht="13.8" x14ac:dyDescent="0.3">
      <c r="A11" s="7" t="s">
        <v>7</v>
      </c>
      <c r="B11" s="4">
        <v>100</v>
      </c>
      <c r="C11" s="5">
        <v>50</v>
      </c>
    </row>
    <row r="12" spans="1:3" ht="13.8" x14ac:dyDescent="0.3">
      <c r="A12" s="7" t="s">
        <v>8</v>
      </c>
      <c r="B12" s="4">
        <v>80</v>
      </c>
      <c r="C12" s="5">
        <v>50</v>
      </c>
    </row>
    <row r="13" spans="1:3" ht="13.8" x14ac:dyDescent="0.3">
      <c r="A13" s="7" t="s">
        <v>9</v>
      </c>
      <c r="B13" s="10">
        <v>50</v>
      </c>
      <c r="C13" s="11">
        <v>50</v>
      </c>
    </row>
    <row r="14" spans="1:3" ht="13.8" x14ac:dyDescent="0.3">
      <c r="A14" s="7" t="s">
        <v>10</v>
      </c>
      <c r="B14" s="4">
        <v>30</v>
      </c>
      <c r="C14" s="5">
        <v>50</v>
      </c>
    </row>
    <row r="15" spans="1:3" ht="13.8" x14ac:dyDescent="0.3">
      <c r="A15" s="7" t="s">
        <v>11</v>
      </c>
      <c r="B15" s="4">
        <v>90</v>
      </c>
      <c r="C15" s="5">
        <v>60</v>
      </c>
    </row>
    <row r="16" spans="1:3" ht="13.8" x14ac:dyDescent="0.3">
      <c r="A16" s="7" t="s">
        <v>12</v>
      </c>
      <c r="B16" s="4">
        <v>90</v>
      </c>
      <c r="C16" s="5">
        <v>100</v>
      </c>
    </row>
    <row r="17" spans="1:3" ht="13.8" x14ac:dyDescent="0.3">
      <c r="A17" s="7" t="s">
        <v>13</v>
      </c>
      <c r="B17" s="10">
        <v>50</v>
      </c>
      <c r="C17" s="11">
        <v>110</v>
      </c>
    </row>
    <row r="18" spans="1:3" ht="13.8" x14ac:dyDescent="0.3">
      <c r="A18" s="7" t="s">
        <v>14</v>
      </c>
      <c r="B18" s="10">
        <v>20</v>
      </c>
      <c r="C18" s="11">
        <v>85</v>
      </c>
    </row>
    <row r="19" spans="1:3" ht="13.8" x14ac:dyDescent="0.3">
      <c r="A19" s="7" t="s">
        <v>15</v>
      </c>
      <c r="B19" s="18">
        <v>20</v>
      </c>
      <c r="C19" s="19">
        <v>60</v>
      </c>
    </row>
    <row r="20" spans="1:3" x14ac:dyDescent="0.25">
      <c r="A20" s="7"/>
      <c r="B20" s="16"/>
      <c r="C20" s="16"/>
    </row>
    <row r="21" spans="1:3" x14ac:dyDescent="0.25">
      <c r="A21" s="7"/>
      <c r="B21" s="17"/>
      <c r="C21" s="17"/>
    </row>
    <row r="22" spans="1:3" x14ac:dyDescent="0.25">
      <c r="A22" s="7"/>
      <c r="B22" s="17"/>
      <c r="C22" s="17"/>
    </row>
    <row r="23" spans="1:3" x14ac:dyDescent="0.25">
      <c r="A23" s="7"/>
      <c r="B23" s="17"/>
      <c r="C23" s="17"/>
    </row>
    <row r="24" spans="1:3" x14ac:dyDescent="0.25">
      <c r="A24" s="7"/>
      <c r="B24" s="17"/>
      <c r="C24" s="17"/>
    </row>
    <row r="25" spans="1:3" x14ac:dyDescent="0.25">
      <c r="A25" s="7"/>
      <c r="B25" s="17"/>
      <c r="C25" s="17"/>
    </row>
    <row r="29" spans="1:3" x14ac:dyDescent="0.25">
      <c r="B29" s="12"/>
    </row>
    <row r="30" spans="1:3" x14ac:dyDescent="0.25">
      <c r="B30" s="12"/>
    </row>
    <row r="31" spans="1:3" x14ac:dyDescent="0.25">
      <c r="B31" s="12"/>
    </row>
    <row r="32" spans="1:3" x14ac:dyDescent="0.25">
      <c r="B32" s="12"/>
    </row>
    <row r="37" spans="1:31" x14ac:dyDescent="0.25"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 ht="13.8" thickBot="1" x14ac:dyDescent="0.3">
      <c r="A38" t="s">
        <v>29</v>
      </c>
      <c r="B38" t="s">
        <v>30</v>
      </c>
      <c r="C38" t="s">
        <v>31</v>
      </c>
      <c r="D38" t="s">
        <v>32</v>
      </c>
      <c r="E38" t="s">
        <v>33</v>
      </c>
      <c r="F38" t="s">
        <v>34</v>
      </c>
      <c r="G38" t="s">
        <v>35</v>
      </c>
      <c r="H38" t="s">
        <v>36</v>
      </c>
      <c r="I38" t="s">
        <v>37</v>
      </c>
      <c r="J38" t="s">
        <v>38</v>
      </c>
      <c r="K38" t="s">
        <v>39</v>
      </c>
      <c r="L38" t="s">
        <v>40</v>
      </c>
      <c r="M38" t="s">
        <v>41</v>
      </c>
      <c r="N38" t="s">
        <v>42</v>
      </c>
      <c r="P38" t="s">
        <v>29</v>
      </c>
      <c r="Q38" t="s">
        <v>30</v>
      </c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 x14ac:dyDescent="0.25">
      <c r="A39" s="2">
        <v>1</v>
      </c>
      <c r="B39" s="22">
        <v>0</v>
      </c>
      <c r="C39" s="22">
        <v>0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N39" s="3">
        <v>0</v>
      </c>
      <c r="P39" s="2">
        <f t="array" ref="P39:Q139">MMULT(A39:N139,B180:C193)</f>
        <v>80</v>
      </c>
      <c r="Q39" s="3">
        <v>30</v>
      </c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 x14ac:dyDescent="0.25">
      <c r="A40" s="4">
        <v>1</v>
      </c>
      <c r="B40" s="16">
        <f>B39+0.01</f>
        <v>0.01</v>
      </c>
      <c r="C40" s="16">
        <f>B40^2</f>
        <v>1E-4</v>
      </c>
      <c r="D40" s="16">
        <f>B40^3</f>
        <v>1.0000000000000002E-6</v>
      </c>
      <c r="E40" s="16">
        <f>$B40^4</f>
        <v>1E-8</v>
      </c>
      <c r="F40" s="16">
        <f>$B40^5</f>
        <v>1E-10</v>
      </c>
      <c r="G40" s="16">
        <f>$B40^6</f>
        <v>9.9999999999999998E-13</v>
      </c>
      <c r="H40" s="16">
        <f>$B40^7</f>
        <v>1.0000000000000002E-14</v>
      </c>
      <c r="I40" s="16">
        <f>$B40^8</f>
        <v>1.0000000000000001E-16</v>
      </c>
      <c r="J40" s="16">
        <f>$B40^9</f>
        <v>1.0000000000000001E-18</v>
      </c>
      <c r="K40" s="16">
        <f>$B40^10</f>
        <v>1.0000000000000001E-20</v>
      </c>
      <c r="L40" s="16">
        <f>$B40^11</f>
        <v>1.0000000000000003E-22</v>
      </c>
      <c r="M40" s="16">
        <f>$B40^12</f>
        <v>1.0000000000000001E-24</v>
      </c>
      <c r="N40" s="5">
        <f>$B40^13</f>
        <v>1.0000000000000002E-26</v>
      </c>
      <c r="P40" s="4">
        <v>76.046487089932299</v>
      </c>
      <c r="Q40" s="5">
        <v>31.077293291388646</v>
      </c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 x14ac:dyDescent="0.25">
      <c r="A41" s="4">
        <v>1</v>
      </c>
      <c r="B41" s="16">
        <f>B40+0.01</f>
        <v>0.02</v>
      </c>
      <c r="C41" s="16">
        <f t="shared" ref="C41:C104" si="0">B41^2</f>
        <v>4.0000000000000002E-4</v>
      </c>
      <c r="D41" s="16">
        <f t="shared" ref="D41:D104" si="1">B41^3</f>
        <v>8.0000000000000013E-6</v>
      </c>
      <c r="E41" s="16">
        <f t="shared" ref="E41:E104" si="2">$B41^4</f>
        <v>1.6E-7</v>
      </c>
      <c r="F41" s="16">
        <f t="shared" ref="F41:F104" si="3">$B41^5</f>
        <v>3.2000000000000001E-9</v>
      </c>
      <c r="G41" s="16">
        <f t="shared" ref="G41:G104" si="4">$B41^6</f>
        <v>6.3999999999999999E-11</v>
      </c>
      <c r="H41" s="16">
        <f t="shared" ref="H41:H104" si="5">$B41^7</f>
        <v>1.2800000000000002E-12</v>
      </c>
      <c r="I41" s="16">
        <f t="shared" ref="I41:I104" si="6">$B41^8</f>
        <v>2.5600000000000003E-14</v>
      </c>
      <c r="J41" s="16">
        <f t="shared" ref="J41:J104" si="7">$B41^9</f>
        <v>5.1200000000000004E-16</v>
      </c>
      <c r="K41" s="16">
        <f t="shared" ref="K41:K104" si="8">$B41^10</f>
        <v>1.0240000000000001E-17</v>
      </c>
      <c r="L41" s="16">
        <f t="shared" ref="L41:L104" si="9">$B41^11</f>
        <v>2.0480000000000006E-19</v>
      </c>
      <c r="M41" s="16">
        <f t="shared" ref="M41:M104" si="10">$B41^12</f>
        <v>4.0960000000000004E-21</v>
      </c>
      <c r="N41" s="5">
        <f t="shared" ref="N41:N104" si="11">$B41^13</f>
        <v>8.1920000000000015E-23</v>
      </c>
      <c r="P41" s="4">
        <v>72.074398423157191</v>
      </c>
      <c r="Q41" s="5">
        <v>31.753118070623042</v>
      </c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 x14ac:dyDescent="0.25">
      <c r="A42" s="4">
        <v>1</v>
      </c>
      <c r="B42" s="16">
        <f t="shared" ref="B42:B105" si="12">B41+0.01</f>
        <v>0.03</v>
      </c>
      <c r="C42" s="16">
        <f t="shared" si="0"/>
        <v>8.9999999999999998E-4</v>
      </c>
      <c r="D42" s="16">
        <f t="shared" si="1"/>
        <v>2.6999999999999999E-5</v>
      </c>
      <c r="E42" s="16">
        <f t="shared" si="2"/>
        <v>8.0999999999999997E-7</v>
      </c>
      <c r="F42" s="16">
        <f t="shared" si="3"/>
        <v>2.4299999999999999E-8</v>
      </c>
      <c r="G42" s="16">
        <f t="shared" si="4"/>
        <v>7.2899999999999996E-10</v>
      </c>
      <c r="H42" s="16">
        <f t="shared" si="5"/>
        <v>2.1869999999999998E-11</v>
      </c>
      <c r="I42" s="16">
        <f t="shared" si="6"/>
        <v>6.561E-13</v>
      </c>
      <c r="J42" s="16">
        <f t="shared" si="7"/>
        <v>1.9683000000000001E-14</v>
      </c>
      <c r="K42" s="16">
        <f t="shared" si="8"/>
        <v>5.9048999999999996E-16</v>
      </c>
      <c r="L42" s="16">
        <f t="shared" si="9"/>
        <v>1.77147E-17</v>
      </c>
      <c r="M42" s="16">
        <f t="shared" si="10"/>
        <v>5.3144099999999994E-19</v>
      </c>
      <c r="N42" s="5">
        <f t="shared" si="11"/>
        <v>1.594323E-20</v>
      </c>
      <c r="P42" s="4">
        <v>68.196710851760116</v>
      </c>
      <c r="Q42" s="5">
        <v>32.090466913367472</v>
      </c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 x14ac:dyDescent="0.25">
      <c r="A43" s="4">
        <v>1</v>
      </c>
      <c r="B43" s="16">
        <f t="shared" si="12"/>
        <v>0.04</v>
      </c>
      <c r="C43" s="16">
        <f t="shared" si="0"/>
        <v>1.6000000000000001E-3</v>
      </c>
      <c r="D43" s="16">
        <f t="shared" si="1"/>
        <v>6.4000000000000011E-5</v>
      </c>
      <c r="E43" s="16">
        <f t="shared" si="2"/>
        <v>2.5600000000000001E-6</v>
      </c>
      <c r="F43" s="16">
        <f t="shared" si="3"/>
        <v>1.024E-7</v>
      </c>
      <c r="G43" s="16">
        <f t="shared" si="4"/>
        <v>4.0959999999999999E-9</v>
      </c>
      <c r="H43" s="16">
        <f t="shared" si="5"/>
        <v>1.6384000000000003E-10</v>
      </c>
      <c r="I43" s="16">
        <f t="shared" si="6"/>
        <v>6.5536000000000007E-12</v>
      </c>
      <c r="J43" s="16">
        <f t="shared" si="7"/>
        <v>2.6214400000000002E-13</v>
      </c>
      <c r="K43" s="16">
        <f t="shared" si="8"/>
        <v>1.0485760000000001E-14</v>
      </c>
      <c r="L43" s="16">
        <f t="shared" si="9"/>
        <v>4.1943040000000012E-16</v>
      </c>
      <c r="M43" s="16">
        <f t="shared" si="10"/>
        <v>1.6777216000000002E-17</v>
      </c>
      <c r="N43" s="5">
        <f t="shared" si="11"/>
        <v>6.7108864000000012E-19</v>
      </c>
      <c r="P43" s="4">
        <v>64.502890573815819</v>
      </c>
      <c r="Q43" s="5">
        <v>32.148197722007339</v>
      </c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 x14ac:dyDescent="0.25">
      <c r="A44" s="4">
        <v>1</v>
      </c>
      <c r="B44" s="16">
        <f t="shared" si="12"/>
        <v>0.05</v>
      </c>
      <c r="C44" s="16">
        <f t="shared" si="0"/>
        <v>2.5000000000000005E-3</v>
      </c>
      <c r="D44" s="16">
        <f t="shared" si="1"/>
        <v>1.2500000000000003E-4</v>
      </c>
      <c r="E44" s="16">
        <f t="shared" si="2"/>
        <v>6.2500000000000028E-6</v>
      </c>
      <c r="F44" s="16">
        <f t="shared" si="3"/>
        <v>3.1250000000000018E-7</v>
      </c>
      <c r="G44" s="16">
        <f t="shared" si="4"/>
        <v>1.5625000000000009E-8</v>
      </c>
      <c r="H44" s="16">
        <f t="shared" si="5"/>
        <v>7.8125000000000059E-10</v>
      </c>
      <c r="I44" s="16">
        <f t="shared" si="6"/>
        <v>3.9062500000000033E-11</v>
      </c>
      <c r="J44" s="16">
        <f t="shared" si="7"/>
        <v>1.9531250000000017E-12</v>
      </c>
      <c r="K44" s="16">
        <f t="shared" si="8"/>
        <v>9.7656250000000105E-14</v>
      </c>
      <c r="L44" s="16">
        <f t="shared" si="9"/>
        <v>4.8828125000000052E-15</v>
      </c>
      <c r="M44" s="16">
        <f t="shared" si="10"/>
        <v>2.4414062500000034E-16</v>
      </c>
      <c r="N44" s="5">
        <f t="shared" si="11"/>
        <v>1.2207031250000017E-17</v>
      </c>
      <c r="P44" s="4">
        <v>61.062016553860985</v>
      </c>
      <c r="Q44" s="5">
        <v>31.980814873272937</v>
      </c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 x14ac:dyDescent="0.25">
      <c r="A45" s="4">
        <v>1</v>
      </c>
      <c r="B45" s="16">
        <f t="shared" si="12"/>
        <v>6.0000000000000005E-2</v>
      </c>
      <c r="C45" s="16">
        <f t="shared" si="0"/>
        <v>3.6000000000000008E-3</v>
      </c>
      <c r="D45" s="16">
        <f t="shared" si="1"/>
        <v>2.1600000000000007E-4</v>
      </c>
      <c r="E45" s="16">
        <f t="shared" si="2"/>
        <v>1.2960000000000006E-5</v>
      </c>
      <c r="F45" s="16">
        <f t="shared" si="3"/>
        <v>7.776000000000004E-7</v>
      </c>
      <c r="G45" s="16">
        <f t="shared" si="4"/>
        <v>4.6656000000000031E-8</v>
      </c>
      <c r="H45" s="16">
        <f t="shared" si="5"/>
        <v>2.7993600000000022E-9</v>
      </c>
      <c r="I45" s="16">
        <f t="shared" si="6"/>
        <v>1.6796160000000016E-10</v>
      </c>
      <c r="J45" s="16">
        <f t="shared" si="7"/>
        <v>1.007769600000001E-11</v>
      </c>
      <c r="K45" s="16">
        <f t="shared" si="8"/>
        <v>6.0466176000000066E-13</v>
      </c>
      <c r="L45" s="16">
        <f t="shared" si="9"/>
        <v>3.6279705600000045E-14</v>
      </c>
      <c r="M45" s="16">
        <f t="shared" si="10"/>
        <v>2.1767823360000029E-15</v>
      </c>
      <c r="N45" s="5">
        <f t="shared" si="11"/>
        <v>1.306069401600002E-16</v>
      </c>
      <c r="P45" s="4">
        <v>57.925555941248888</v>
      </c>
      <c r="Q45" s="5">
        <v>31.63833211942308</v>
      </c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 x14ac:dyDescent="0.25">
      <c r="A46" s="4">
        <v>1</v>
      </c>
      <c r="B46" s="16">
        <f t="shared" si="12"/>
        <v>7.0000000000000007E-2</v>
      </c>
      <c r="C46" s="16">
        <f t="shared" si="0"/>
        <v>4.9000000000000007E-3</v>
      </c>
      <c r="D46" s="16">
        <f t="shared" si="1"/>
        <v>3.430000000000001E-4</v>
      </c>
      <c r="E46" s="16">
        <f t="shared" si="2"/>
        <v>2.4010000000000006E-5</v>
      </c>
      <c r="F46" s="16">
        <f t="shared" si="3"/>
        <v>1.6807000000000005E-6</v>
      </c>
      <c r="G46" s="16">
        <f t="shared" si="4"/>
        <v>1.1764900000000005E-7</v>
      </c>
      <c r="H46" s="16">
        <f t="shared" si="5"/>
        <v>8.2354300000000037E-9</v>
      </c>
      <c r="I46" s="16">
        <f t="shared" si="6"/>
        <v>5.764801000000003E-10</v>
      </c>
      <c r="J46" s="16">
        <f t="shared" si="7"/>
        <v>4.0353607000000022E-11</v>
      </c>
      <c r="K46" s="16">
        <f t="shared" si="8"/>
        <v>2.8247524900000018E-12</v>
      </c>
      <c r="L46" s="16">
        <f t="shared" si="9"/>
        <v>1.9773267430000016E-13</v>
      </c>
      <c r="M46" s="16">
        <f t="shared" si="10"/>
        <v>1.384128720100001E-14</v>
      </c>
      <c r="N46" s="5">
        <f t="shared" si="11"/>
        <v>9.6889010407000087E-16</v>
      </c>
      <c r="P46" s="4">
        <v>55.129828233749492</v>
      </c>
      <c r="Q46" s="5">
        <v>31.166208196969983</v>
      </c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 x14ac:dyDescent="0.25">
      <c r="A47" s="4">
        <v>1</v>
      </c>
      <c r="B47" s="16">
        <f t="shared" si="12"/>
        <v>0.08</v>
      </c>
      <c r="C47" s="16">
        <f t="shared" si="0"/>
        <v>6.4000000000000003E-3</v>
      </c>
      <c r="D47" s="16">
        <f t="shared" si="1"/>
        <v>5.1200000000000009E-4</v>
      </c>
      <c r="E47" s="16">
        <f t="shared" si="2"/>
        <v>4.0960000000000001E-5</v>
      </c>
      <c r="F47" s="16">
        <f t="shared" si="3"/>
        <v>3.2768000000000001E-6</v>
      </c>
      <c r="G47" s="16">
        <f t="shared" si="4"/>
        <v>2.6214399999999999E-7</v>
      </c>
      <c r="H47" s="16">
        <f t="shared" si="5"/>
        <v>2.0971520000000003E-8</v>
      </c>
      <c r="I47" s="16">
        <f t="shared" si="6"/>
        <v>1.6777216000000002E-9</v>
      </c>
      <c r="J47" s="16">
        <f t="shared" si="7"/>
        <v>1.3421772800000001E-10</v>
      </c>
      <c r="K47" s="16">
        <f t="shared" si="8"/>
        <v>1.0737418240000001E-11</v>
      </c>
      <c r="L47" s="16">
        <f t="shared" si="9"/>
        <v>8.5899345920000024E-13</v>
      </c>
      <c r="M47" s="16">
        <f t="shared" si="10"/>
        <v>6.8719476736000007E-14</v>
      </c>
      <c r="N47" s="5">
        <f t="shared" si="11"/>
        <v>5.497558138880001E-15</v>
      </c>
      <c r="P47" s="4">
        <v>52.698191353137965</v>
      </c>
      <c r="Q47" s="5">
        <v>30.605346538658907</v>
      </c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 x14ac:dyDescent="0.25">
      <c r="A48" s="4">
        <v>1</v>
      </c>
      <c r="B48" s="16">
        <f t="shared" si="12"/>
        <v>0.09</v>
      </c>
      <c r="C48" s="16">
        <f t="shared" si="0"/>
        <v>8.0999999999999996E-3</v>
      </c>
      <c r="D48" s="16">
        <f t="shared" si="1"/>
        <v>7.2899999999999994E-4</v>
      </c>
      <c r="E48" s="16">
        <f t="shared" si="2"/>
        <v>6.560999999999999E-5</v>
      </c>
      <c r="F48" s="16">
        <f t="shared" si="3"/>
        <v>5.9048999999999991E-6</v>
      </c>
      <c r="G48" s="16">
        <f t="shared" si="4"/>
        <v>5.3144099999999987E-7</v>
      </c>
      <c r="H48" s="16">
        <f t="shared" si="5"/>
        <v>4.7829689999999986E-8</v>
      </c>
      <c r="I48" s="16">
        <f t="shared" si="6"/>
        <v>4.3046720999999984E-9</v>
      </c>
      <c r="J48" s="16">
        <f t="shared" si="7"/>
        <v>3.8742048899999985E-10</v>
      </c>
      <c r="K48" s="16">
        <f t="shared" si="8"/>
        <v>3.4867844009999988E-11</v>
      </c>
      <c r="L48" s="16">
        <f t="shared" si="9"/>
        <v>3.1381059608999984E-12</v>
      </c>
      <c r="M48" s="16">
        <f t="shared" si="10"/>
        <v>2.8242953648099984E-13</v>
      </c>
      <c r="N48" s="5">
        <f t="shared" si="11"/>
        <v>2.5418658283289988E-14</v>
      </c>
      <c r="P48" s="4">
        <v>50.642979520173554</v>
      </c>
      <c r="Q48" s="5">
        <v>29.992150944254</v>
      </c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 x14ac:dyDescent="0.25">
      <c r="A49" s="4">
        <v>1</v>
      </c>
      <c r="B49" s="16">
        <f t="shared" si="12"/>
        <v>9.9999999999999992E-2</v>
      </c>
      <c r="C49" s="16">
        <f t="shared" si="0"/>
        <v>9.9999999999999985E-3</v>
      </c>
      <c r="D49" s="16">
        <f t="shared" si="1"/>
        <v>9.999999999999998E-4</v>
      </c>
      <c r="E49" s="16">
        <f t="shared" si="2"/>
        <v>9.9999999999999964E-5</v>
      </c>
      <c r="F49" s="16">
        <f t="shared" si="3"/>
        <v>9.9999999999999957E-6</v>
      </c>
      <c r="G49" s="16">
        <f t="shared" si="4"/>
        <v>9.9999999999999953E-7</v>
      </c>
      <c r="H49" s="16">
        <f t="shared" si="5"/>
        <v>9.9999999999999943E-8</v>
      </c>
      <c r="I49" s="16">
        <f t="shared" si="6"/>
        <v>9.9999999999999936E-9</v>
      </c>
      <c r="J49" s="16">
        <f t="shared" si="7"/>
        <v>9.9999999999999924E-10</v>
      </c>
      <c r="K49" s="16">
        <f t="shared" si="8"/>
        <v>9.9999999999999926E-11</v>
      </c>
      <c r="L49" s="16">
        <f t="shared" si="9"/>
        <v>9.9999999999999913E-12</v>
      </c>
      <c r="M49" s="16">
        <f t="shared" si="10"/>
        <v>9.9999999999999897E-13</v>
      </c>
      <c r="N49" s="5">
        <f t="shared" si="11"/>
        <v>9.9999999999999889E-14</v>
      </c>
      <c r="P49" s="4">
        <v>48.967219815886999</v>
      </c>
      <c r="Q49" s="5">
        <v>29.35862953847251</v>
      </c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 x14ac:dyDescent="0.25">
      <c r="A50" s="4">
        <v>1</v>
      </c>
      <c r="B50" s="16">
        <f t="shared" si="12"/>
        <v>0.10999999999999999</v>
      </c>
      <c r="C50" s="16">
        <f t="shared" si="0"/>
        <v>1.2099999999999998E-2</v>
      </c>
      <c r="D50" s="16">
        <f t="shared" si="1"/>
        <v>1.3309999999999995E-3</v>
      </c>
      <c r="E50" s="16">
        <f t="shared" si="2"/>
        <v>1.4640999999999995E-4</v>
      </c>
      <c r="F50" s="16">
        <f t="shared" si="3"/>
        <v>1.6105099999999993E-5</v>
      </c>
      <c r="G50" s="16">
        <f t="shared" si="4"/>
        <v>1.771560999999999E-6</v>
      </c>
      <c r="H50" s="16">
        <f t="shared" si="5"/>
        <v>1.9487170999999985E-7</v>
      </c>
      <c r="I50" s="16">
        <f t="shared" si="6"/>
        <v>2.1435888099999983E-8</v>
      </c>
      <c r="J50" s="16">
        <f t="shared" si="7"/>
        <v>2.357947690999998E-9</v>
      </c>
      <c r="K50" s="16">
        <f t="shared" si="8"/>
        <v>2.5937424600999977E-10</v>
      </c>
      <c r="L50" s="16">
        <f t="shared" si="9"/>
        <v>2.8531167061099966E-11</v>
      </c>
      <c r="M50" s="16">
        <f t="shared" si="10"/>
        <v>3.1384283767209964E-12</v>
      </c>
      <c r="N50" s="5">
        <f t="shared" si="11"/>
        <v>3.4522712143930956E-13</v>
      </c>
      <c r="P50" s="4">
        <v>47.666151573577089</v>
      </c>
      <c r="Q50" s="5">
        <v>28.732539825417213</v>
      </c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 x14ac:dyDescent="0.25">
      <c r="A51" s="4">
        <v>1</v>
      </c>
      <c r="B51" s="16">
        <f t="shared" si="12"/>
        <v>0.11999999999999998</v>
      </c>
      <c r="C51" s="16">
        <f t="shared" si="0"/>
        <v>1.4399999999999996E-2</v>
      </c>
      <c r="D51" s="16">
        <f t="shared" si="1"/>
        <v>1.7279999999999993E-3</v>
      </c>
      <c r="E51" s="16">
        <f t="shared" si="2"/>
        <v>2.0735999999999988E-4</v>
      </c>
      <c r="F51" s="16">
        <f t="shared" si="3"/>
        <v>2.4883199999999982E-5</v>
      </c>
      <c r="G51" s="16">
        <f t="shared" si="4"/>
        <v>2.9859839999999977E-6</v>
      </c>
      <c r="H51" s="16">
        <f t="shared" si="5"/>
        <v>3.5831807999999965E-7</v>
      </c>
      <c r="I51" s="16">
        <f t="shared" si="6"/>
        <v>4.2998169599999954E-8</v>
      </c>
      <c r="J51" s="16">
        <f t="shared" si="7"/>
        <v>5.1597803519999935E-9</v>
      </c>
      <c r="K51" s="16">
        <f t="shared" si="8"/>
        <v>6.1917364223999913E-10</v>
      </c>
      <c r="L51" s="16">
        <f t="shared" si="9"/>
        <v>7.4300837068799884E-11</v>
      </c>
      <c r="M51" s="16">
        <f t="shared" si="10"/>
        <v>8.916100448255986E-12</v>
      </c>
      <c r="N51" s="5">
        <f t="shared" si="11"/>
        <v>1.0699320537907182E-12</v>
      </c>
      <c r="P51" s="4">
        <v>46.728570241942343</v>
      </c>
      <c r="Q51" s="5">
        <v>28.137568133751309</v>
      </c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 x14ac:dyDescent="0.25">
      <c r="A52" s="4">
        <v>1</v>
      </c>
      <c r="B52" s="16">
        <f t="shared" si="12"/>
        <v>0.12999999999999998</v>
      </c>
      <c r="C52" s="16">
        <f t="shared" si="0"/>
        <v>1.6899999999999995E-2</v>
      </c>
      <c r="D52" s="16">
        <f t="shared" si="1"/>
        <v>2.1969999999999989E-3</v>
      </c>
      <c r="E52" s="16">
        <f t="shared" si="2"/>
        <v>2.8560999999999984E-4</v>
      </c>
      <c r="F52" s="16">
        <f t="shared" si="3"/>
        <v>3.712929999999997E-5</v>
      </c>
      <c r="G52" s="16">
        <f t="shared" si="4"/>
        <v>4.8268089999999955E-6</v>
      </c>
      <c r="H52" s="16">
        <f t="shared" si="5"/>
        <v>6.2748516999999928E-7</v>
      </c>
      <c r="I52" s="16">
        <f t="shared" si="6"/>
        <v>8.1573072099999911E-8</v>
      </c>
      <c r="J52" s="16">
        <f t="shared" si="7"/>
        <v>1.0604499372999987E-8</v>
      </c>
      <c r="K52" s="16">
        <f t="shared" si="8"/>
        <v>1.3785849184899981E-9</v>
      </c>
      <c r="L52" s="16">
        <f t="shared" si="9"/>
        <v>1.792160394036997E-10</v>
      </c>
      <c r="M52" s="16">
        <f t="shared" si="10"/>
        <v>2.3298085122480962E-11</v>
      </c>
      <c r="N52" s="5">
        <f t="shared" si="11"/>
        <v>3.0287510659225242E-12</v>
      </c>
      <c r="P52" s="4">
        <v>46.138015076290728</v>
      </c>
      <c r="Q52" s="5">
        <v>27.593537231695674</v>
      </c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 x14ac:dyDescent="0.25">
      <c r="A53" s="4">
        <v>1</v>
      </c>
      <c r="B53" s="16">
        <f t="shared" si="12"/>
        <v>0.13999999999999999</v>
      </c>
      <c r="C53" s="16">
        <f t="shared" si="0"/>
        <v>1.9599999999999996E-2</v>
      </c>
      <c r="D53" s="16">
        <f t="shared" si="1"/>
        <v>2.743999999999999E-3</v>
      </c>
      <c r="E53" s="16">
        <f t="shared" si="2"/>
        <v>3.8415999999999982E-4</v>
      </c>
      <c r="F53" s="16">
        <f t="shared" si="3"/>
        <v>5.3782399999999968E-5</v>
      </c>
      <c r="G53" s="16">
        <f t="shared" si="4"/>
        <v>7.5295359999999947E-6</v>
      </c>
      <c r="H53" s="16">
        <f t="shared" si="5"/>
        <v>1.0541350399999992E-6</v>
      </c>
      <c r="I53" s="16">
        <f t="shared" si="6"/>
        <v>1.4757890559999986E-7</v>
      </c>
      <c r="J53" s="16">
        <f t="shared" si="7"/>
        <v>2.0661046783999978E-8</v>
      </c>
      <c r="K53" s="16">
        <f t="shared" si="8"/>
        <v>2.8925465497599969E-9</v>
      </c>
      <c r="L53" s="16">
        <f t="shared" si="9"/>
        <v>4.049565169663995E-10</v>
      </c>
      <c r="M53" s="16">
        <f t="shared" si="10"/>
        <v>5.6693912375295918E-11</v>
      </c>
      <c r="N53" s="5">
        <f t="shared" si="11"/>
        <v>7.9371477325414277E-12</v>
      </c>
      <c r="P53" s="4">
        <v>45.873817935031951</v>
      </c>
      <c r="Q53" s="5">
        <v>27.116636372139482</v>
      </c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 x14ac:dyDescent="0.25">
      <c r="A54" s="4">
        <v>1</v>
      </c>
      <c r="B54" s="16">
        <f t="shared" si="12"/>
        <v>0.15</v>
      </c>
      <c r="C54" s="16">
        <f t="shared" si="0"/>
        <v>2.2499999999999999E-2</v>
      </c>
      <c r="D54" s="16">
        <f t="shared" si="1"/>
        <v>3.375E-3</v>
      </c>
      <c r="E54" s="16">
        <f t="shared" si="2"/>
        <v>5.0624999999999997E-4</v>
      </c>
      <c r="F54" s="16">
        <f t="shared" si="3"/>
        <v>7.5937499999999996E-5</v>
      </c>
      <c r="G54" s="16">
        <f t="shared" si="4"/>
        <v>1.1390624999999999E-5</v>
      </c>
      <c r="H54" s="16">
        <f t="shared" si="5"/>
        <v>1.7085937499999998E-6</v>
      </c>
      <c r="I54" s="16">
        <f t="shared" si="6"/>
        <v>2.5628906249999996E-7</v>
      </c>
      <c r="J54" s="16">
        <f t="shared" si="7"/>
        <v>3.8443359374999996E-8</v>
      </c>
      <c r="K54" s="16">
        <f t="shared" si="8"/>
        <v>5.7665039062499992E-9</v>
      </c>
      <c r="L54" s="16">
        <f t="shared" si="9"/>
        <v>8.6497558593749985E-10</v>
      </c>
      <c r="M54" s="16">
        <f t="shared" si="10"/>
        <v>1.2974633789062497E-10</v>
      </c>
      <c r="N54" s="5">
        <f t="shared" si="11"/>
        <v>1.9461950683593746E-11</v>
      </c>
      <c r="P54" s="4">
        <v>45.912028567132154</v>
      </c>
      <c r="Q54" s="5">
        <v>26.719668502526577</v>
      </c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 x14ac:dyDescent="0.25">
      <c r="A55" s="4">
        <v>1</v>
      </c>
      <c r="B55" s="16">
        <f t="shared" si="12"/>
        <v>0.16</v>
      </c>
      <c r="C55" s="16">
        <f t="shared" si="0"/>
        <v>2.5600000000000001E-2</v>
      </c>
      <c r="D55" s="16">
        <f t="shared" si="1"/>
        <v>4.0960000000000007E-3</v>
      </c>
      <c r="E55" s="16">
        <f t="shared" si="2"/>
        <v>6.5536000000000001E-4</v>
      </c>
      <c r="F55" s="16">
        <f t="shared" si="3"/>
        <v>1.048576E-4</v>
      </c>
      <c r="G55" s="16">
        <f t="shared" si="4"/>
        <v>1.6777216E-5</v>
      </c>
      <c r="H55" s="16">
        <f t="shared" si="5"/>
        <v>2.6843545600000004E-6</v>
      </c>
      <c r="I55" s="16">
        <f t="shared" si="6"/>
        <v>4.2949672960000004E-7</v>
      </c>
      <c r="J55" s="16">
        <f t="shared" si="7"/>
        <v>6.8719476736000005E-8</v>
      </c>
      <c r="K55" s="16">
        <f t="shared" si="8"/>
        <v>1.0995116277760001E-8</v>
      </c>
      <c r="L55" s="16">
        <f t="shared" si="9"/>
        <v>1.7592186044416005E-9</v>
      </c>
      <c r="M55" s="16">
        <f t="shared" si="10"/>
        <v>2.8147497671065603E-10</v>
      </c>
      <c r="N55" s="5">
        <f t="shared" si="11"/>
        <v>4.5035996273704968E-11</v>
      </c>
      <c r="P55" s="4">
        <v>46.226230058526305</v>
      </c>
      <c r="Q55" s="5">
        <v>26.412309838849573</v>
      </c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 x14ac:dyDescent="0.25">
      <c r="A56" s="4">
        <v>1</v>
      </c>
      <c r="B56" s="16">
        <f t="shared" si="12"/>
        <v>0.17</v>
      </c>
      <c r="C56" s="16">
        <f t="shared" si="0"/>
        <v>2.8900000000000006E-2</v>
      </c>
      <c r="D56" s="16">
        <f t="shared" si="1"/>
        <v>4.9130000000000016E-3</v>
      </c>
      <c r="E56" s="16">
        <f t="shared" si="2"/>
        <v>8.3521000000000029E-4</v>
      </c>
      <c r="F56" s="16">
        <f t="shared" si="3"/>
        <v>1.4198570000000007E-4</v>
      </c>
      <c r="G56" s="16">
        <f t="shared" si="4"/>
        <v>2.4137569000000013E-5</v>
      </c>
      <c r="H56" s="16">
        <f t="shared" si="5"/>
        <v>4.1033867300000029E-6</v>
      </c>
      <c r="I56" s="16">
        <f t="shared" si="6"/>
        <v>6.9757574410000049E-7</v>
      </c>
      <c r="J56" s="16">
        <f t="shared" si="7"/>
        <v>1.1858787649700009E-7</v>
      </c>
      <c r="K56" s="16">
        <f t="shared" si="8"/>
        <v>2.0159939004490019E-8</v>
      </c>
      <c r="L56" s="16">
        <f t="shared" si="9"/>
        <v>3.4271896307633035E-9</v>
      </c>
      <c r="M56" s="16">
        <f t="shared" si="10"/>
        <v>5.8262223722976163E-10</v>
      </c>
      <c r="N56" s="5">
        <f t="shared" si="11"/>
        <v>9.9045780329059482E-11</v>
      </c>
      <c r="P56" s="4">
        <v>46.788256548327944</v>
      </c>
      <c r="Q56" s="5">
        <v>26.201377455510968</v>
      </c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 x14ac:dyDescent="0.25">
      <c r="A57" s="4">
        <v>1</v>
      </c>
      <c r="B57" s="16">
        <f t="shared" si="12"/>
        <v>0.18000000000000002</v>
      </c>
      <c r="C57" s="16">
        <f t="shared" si="0"/>
        <v>3.2400000000000005E-2</v>
      </c>
      <c r="D57" s="16">
        <f t="shared" si="1"/>
        <v>5.8320000000000012E-3</v>
      </c>
      <c r="E57" s="16">
        <f t="shared" si="2"/>
        <v>1.0497600000000003E-3</v>
      </c>
      <c r="F57" s="16">
        <f t="shared" si="3"/>
        <v>1.8895680000000008E-4</v>
      </c>
      <c r="G57" s="16">
        <f t="shared" si="4"/>
        <v>3.4012224000000012E-5</v>
      </c>
      <c r="H57" s="16">
        <f t="shared" si="5"/>
        <v>6.1222003200000033E-6</v>
      </c>
      <c r="I57" s="16">
        <f t="shared" si="6"/>
        <v>1.1019960576000006E-6</v>
      </c>
      <c r="J57" s="16">
        <f t="shared" si="7"/>
        <v>1.9835929036800014E-7</v>
      </c>
      <c r="K57" s="16">
        <f t="shared" si="8"/>
        <v>3.5704672266240027E-8</v>
      </c>
      <c r="L57" s="16">
        <f t="shared" si="9"/>
        <v>6.4268410079232049E-9</v>
      </c>
      <c r="M57" s="16">
        <f t="shared" si="10"/>
        <v>1.156831381426177E-9</v>
      </c>
      <c r="N57" s="5">
        <f t="shared" si="11"/>
        <v>2.0822964865671189E-10</v>
      </c>
      <c r="P57" s="4">
        <v>47.568823916759207</v>
      </c>
      <c r="Q57" s="5">
        <v>26.0911009807776</v>
      </c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 x14ac:dyDescent="0.25">
      <c r="A58" s="4">
        <v>1</v>
      </c>
      <c r="B58" s="16">
        <f t="shared" si="12"/>
        <v>0.19000000000000003</v>
      </c>
      <c r="C58" s="16">
        <f t="shared" si="0"/>
        <v>3.6100000000000014E-2</v>
      </c>
      <c r="D58" s="16">
        <f t="shared" si="1"/>
        <v>6.859000000000004E-3</v>
      </c>
      <c r="E58" s="16">
        <f t="shared" si="2"/>
        <v>1.303210000000001E-3</v>
      </c>
      <c r="F58" s="16">
        <f t="shared" si="3"/>
        <v>2.4760990000000023E-4</v>
      </c>
      <c r="G58" s="16">
        <f t="shared" si="4"/>
        <v>4.7045881000000059E-5</v>
      </c>
      <c r="H58" s="16">
        <f t="shared" si="5"/>
        <v>8.938717390000013E-6</v>
      </c>
      <c r="I58" s="16">
        <f t="shared" si="6"/>
        <v>1.6983563041000026E-6</v>
      </c>
      <c r="J58" s="16">
        <f t="shared" si="7"/>
        <v>3.2268769777900053E-7</v>
      </c>
      <c r="K58" s="16">
        <f t="shared" si="8"/>
        <v>6.1310662578010112E-8</v>
      </c>
      <c r="L58" s="16">
        <f t="shared" si="9"/>
        <v>1.1649025889821925E-8</v>
      </c>
      <c r="M58" s="16">
        <f t="shared" si="10"/>
        <v>2.2133149190661661E-9</v>
      </c>
      <c r="N58" s="5">
        <f t="shared" si="11"/>
        <v>4.2052983462257164E-10</v>
      </c>
      <c r="P58" s="4">
        <v>48.538082874679844</v>
      </c>
      <c r="Q58" s="5">
        <v>26.083394909137745</v>
      </c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 x14ac:dyDescent="0.25">
      <c r="A59" s="4">
        <v>1</v>
      </c>
      <c r="B59" s="16">
        <f t="shared" si="12"/>
        <v>0.20000000000000004</v>
      </c>
      <c r="C59" s="16">
        <f t="shared" si="0"/>
        <v>4.0000000000000015E-2</v>
      </c>
      <c r="D59" s="16">
        <f t="shared" si="1"/>
        <v>8.0000000000000036E-3</v>
      </c>
      <c r="E59" s="16">
        <f t="shared" si="2"/>
        <v>1.6000000000000012E-3</v>
      </c>
      <c r="F59" s="16">
        <f t="shared" si="3"/>
        <v>3.200000000000003E-4</v>
      </c>
      <c r="G59" s="16">
        <f t="shared" si="4"/>
        <v>6.4000000000000065E-5</v>
      </c>
      <c r="H59" s="16">
        <f t="shared" si="5"/>
        <v>1.2800000000000015E-5</v>
      </c>
      <c r="I59" s="16">
        <f t="shared" si="6"/>
        <v>2.5600000000000039E-6</v>
      </c>
      <c r="J59" s="16">
        <f t="shared" si="7"/>
        <v>5.1200000000000088E-7</v>
      </c>
      <c r="K59" s="16">
        <f t="shared" si="8"/>
        <v>1.0240000000000019E-7</v>
      </c>
      <c r="L59" s="16">
        <f t="shared" si="9"/>
        <v>2.0480000000000042E-8</v>
      </c>
      <c r="M59" s="16">
        <f t="shared" si="10"/>
        <v>4.096000000000009E-9</v>
      </c>
      <c r="N59" s="5">
        <f t="shared" si="11"/>
        <v>8.1920000000000199E-10</v>
      </c>
      <c r="P59" s="4">
        <v>49.666102738943991</v>
      </c>
      <c r="Q59" s="5">
        <v>26.178128445439985</v>
      </c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 x14ac:dyDescent="0.25">
      <c r="A60" s="4">
        <v>1</v>
      </c>
      <c r="B60" s="16">
        <f t="shared" si="12"/>
        <v>0.21000000000000005</v>
      </c>
      <c r="C60" s="16">
        <f t="shared" si="0"/>
        <v>4.4100000000000021E-2</v>
      </c>
      <c r="D60" s="16">
        <f t="shared" si="1"/>
        <v>9.2610000000000071E-3</v>
      </c>
      <c r="E60" s="16">
        <f t="shared" si="2"/>
        <v>1.9448100000000019E-3</v>
      </c>
      <c r="F60" s="16">
        <f t="shared" si="3"/>
        <v>4.0841010000000047E-4</v>
      </c>
      <c r="G60" s="16">
        <f t="shared" si="4"/>
        <v>8.5766121000000118E-5</v>
      </c>
      <c r="H60" s="16">
        <f t="shared" si="5"/>
        <v>1.801088541000003E-5</v>
      </c>
      <c r="I60" s="16">
        <f t="shared" si="6"/>
        <v>3.7822859361000075E-6</v>
      </c>
      <c r="J60" s="16">
        <f t="shared" si="7"/>
        <v>7.9428004658100171E-7</v>
      </c>
      <c r="K60" s="16">
        <f t="shared" si="8"/>
        <v>1.6679880978201042E-7</v>
      </c>
      <c r="L60" s="16">
        <f t="shared" si="9"/>
        <v>3.5027750054222193E-8</v>
      </c>
      <c r="M60" s="16">
        <f t="shared" si="10"/>
        <v>7.3558275113866625E-9</v>
      </c>
      <c r="N60" s="5">
        <f t="shared" si="11"/>
        <v>1.5447237773911994E-9</v>
      </c>
      <c r="P60" s="4">
        <v>50.923293148877114</v>
      </c>
      <c r="Q60" s="5">
        <v>26.373390179885813</v>
      </c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 x14ac:dyDescent="0.25">
      <c r="A61" s="4">
        <v>1</v>
      </c>
      <c r="B61" s="16">
        <f t="shared" si="12"/>
        <v>0.22000000000000006</v>
      </c>
      <c r="C61" s="16">
        <f t="shared" si="0"/>
        <v>4.8400000000000026E-2</v>
      </c>
      <c r="D61" s="16">
        <f t="shared" si="1"/>
        <v>1.0648000000000008E-2</v>
      </c>
      <c r="E61" s="16">
        <f t="shared" si="2"/>
        <v>2.3425600000000026E-3</v>
      </c>
      <c r="F61" s="16">
        <f t="shared" si="3"/>
        <v>5.1536320000000074E-4</v>
      </c>
      <c r="G61" s="16">
        <f t="shared" si="4"/>
        <v>1.133799040000002E-4</v>
      </c>
      <c r="H61" s="16">
        <f t="shared" si="5"/>
        <v>2.4943578880000048E-5</v>
      </c>
      <c r="I61" s="16">
        <f t="shared" si="6"/>
        <v>5.4875873536000127E-6</v>
      </c>
      <c r="J61" s="16">
        <f t="shared" si="7"/>
        <v>1.207269217792003E-6</v>
      </c>
      <c r="K61" s="16">
        <f t="shared" si="8"/>
        <v>2.6559922791424077E-7</v>
      </c>
      <c r="L61" s="16">
        <f t="shared" si="9"/>
        <v>5.8431830141132983E-8</v>
      </c>
      <c r="M61" s="16">
        <f t="shared" si="10"/>
        <v>1.2855002631049261E-8</v>
      </c>
      <c r="N61" s="5">
        <f t="shared" si="11"/>
        <v>2.828100578830838E-9</v>
      </c>
      <c r="P61" s="4">
        <v>52.280770058022007</v>
      </c>
      <c r="Q61" s="5">
        <v>26.66574525666578</v>
      </c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 x14ac:dyDescent="0.25">
      <c r="A62" s="4">
        <v>1</v>
      </c>
      <c r="B62" s="16">
        <f t="shared" si="12"/>
        <v>0.23000000000000007</v>
      </c>
      <c r="C62" s="16">
        <f t="shared" si="0"/>
        <v>5.290000000000003E-2</v>
      </c>
      <c r="D62" s="16">
        <f t="shared" si="1"/>
        <v>1.2167000000000011E-2</v>
      </c>
      <c r="E62" s="16">
        <f t="shared" si="2"/>
        <v>2.7984100000000033E-3</v>
      </c>
      <c r="F62" s="16">
        <f t="shared" si="3"/>
        <v>6.4363430000000099E-4</v>
      </c>
      <c r="G62" s="16">
        <f t="shared" si="4"/>
        <v>1.4803588900000027E-4</v>
      </c>
      <c r="H62" s="16">
        <f t="shared" si="5"/>
        <v>3.4048254470000075E-5</v>
      </c>
      <c r="I62" s="16">
        <f t="shared" si="6"/>
        <v>7.8310985281000194E-6</v>
      </c>
      <c r="J62" s="16">
        <f t="shared" si="7"/>
        <v>1.8011526614630051E-6</v>
      </c>
      <c r="K62" s="16">
        <f t="shared" si="8"/>
        <v>4.1426511213649128E-7</v>
      </c>
      <c r="L62" s="16">
        <f t="shared" si="9"/>
        <v>9.5280975791393027E-8</v>
      </c>
      <c r="M62" s="16">
        <f t="shared" si="10"/>
        <v>2.19146244320204E-8</v>
      </c>
      <c r="N62" s="5">
        <f t="shared" si="11"/>
        <v>5.0403636193646944E-9</v>
      </c>
      <c r="P62" s="4">
        <v>53.710671513721955</v>
      </c>
      <c r="Q62" s="5">
        <v>27.0504830414168</v>
      </c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 x14ac:dyDescent="0.25">
      <c r="A63" s="4">
        <v>1</v>
      </c>
      <c r="B63" s="16">
        <f t="shared" si="12"/>
        <v>0.24000000000000007</v>
      </c>
      <c r="C63" s="16">
        <f t="shared" si="0"/>
        <v>5.7600000000000033E-2</v>
      </c>
      <c r="D63" s="16">
        <f t="shared" si="1"/>
        <v>1.3824000000000012E-2</v>
      </c>
      <c r="E63" s="16">
        <f t="shared" si="2"/>
        <v>3.3177600000000038E-3</v>
      </c>
      <c r="F63" s="16">
        <f t="shared" si="3"/>
        <v>7.9626240000000117E-4</v>
      </c>
      <c r="G63" s="16">
        <f t="shared" si="4"/>
        <v>1.9110297600000032E-4</v>
      </c>
      <c r="H63" s="16">
        <f t="shared" si="5"/>
        <v>4.586471424000009E-5</v>
      </c>
      <c r="I63" s="16">
        <f t="shared" si="6"/>
        <v>1.1007531417600025E-5</v>
      </c>
      <c r="J63" s="16">
        <f t="shared" si="7"/>
        <v>2.6418075402240068E-6</v>
      </c>
      <c r="K63" s="16">
        <f t="shared" si="8"/>
        <v>6.3403380965376186E-7</v>
      </c>
      <c r="L63" s="16">
        <f t="shared" si="9"/>
        <v>1.5216811431690288E-7</v>
      </c>
      <c r="M63" s="16">
        <f t="shared" si="10"/>
        <v>3.6520347436056704E-8</v>
      </c>
      <c r="N63" s="5">
        <f t="shared" si="11"/>
        <v>8.7648833846536112E-9</v>
      </c>
      <c r="P63" s="4">
        <v>55.186428007491784</v>
      </c>
      <c r="Q63" s="5">
        <v>27.521853613110391</v>
      </c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 x14ac:dyDescent="0.25">
      <c r="A64" s="4">
        <v>1</v>
      </c>
      <c r="B64" s="16">
        <f t="shared" si="12"/>
        <v>0.25000000000000006</v>
      </c>
      <c r="C64" s="16">
        <f t="shared" si="0"/>
        <v>6.2500000000000028E-2</v>
      </c>
      <c r="D64" s="16">
        <f t="shared" si="1"/>
        <v>1.562500000000001E-2</v>
      </c>
      <c r="E64" s="16">
        <f t="shared" si="2"/>
        <v>3.9062500000000035E-3</v>
      </c>
      <c r="F64" s="16">
        <f t="shared" si="3"/>
        <v>9.7656250000000108E-4</v>
      </c>
      <c r="G64" s="16">
        <f t="shared" si="4"/>
        <v>2.4414062500000033E-4</v>
      </c>
      <c r="H64" s="16">
        <f t="shared" si="5"/>
        <v>6.1035156250000095E-5</v>
      </c>
      <c r="I64" s="16">
        <f t="shared" si="6"/>
        <v>1.5258789062500027E-5</v>
      </c>
      <c r="J64" s="16">
        <f t="shared" si="7"/>
        <v>3.8146972656250076E-6</v>
      </c>
      <c r="K64" s="16">
        <f t="shared" si="8"/>
        <v>9.5367431640625212E-7</v>
      </c>
      <c r="L64" s="16">
        <f t="shared" si="9"/>
        <v>2.3841857910156308E-7</v>
      </c>
      <c r="M64" s="16">
        <f t="shared" si="10"/>
        <v>5.9604644775390784E-8</v>
      </c>
      <c r="N64" s="5">
        <f t="shared" si="11"/>
        <v>1.4901161193847699E-8</v>
      </c>
      <c r="P64" s="4">
        <v>56.682991534471526</v>
      </c>
      <c r="Q64" s="5">
        <v>28.073291704058644</v>
      </c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 x14ac:dyDescent="0.25">
      <c r="A65" s="4">
        <v>1</v>
      </c>
      <c r="B65" s="16">
        <f t="shared" si="12"/>
        <v>0.26000000000000006</v>
      </c>
      <c r="C65" s="16">
        <f t="shared" si="0"/>
        <v>6.7600000000000035E-2</v>
      </c>
      <c r="D65" s="16">
        <f t="shared" si="1"/>
        <v>1.7576000000000012E-2</v>
      </c>
      <c r="E65" s="16">
        <f t="shared" si="2"/>
        <v>4.5697600000000052E-3</v>
      </c>
      <c r="F65" s="16">
        <f t="shared" si="3"/>
        <v>1.1881376000000016E-3</v>
      </c>
      <c r="G65" s="16">
        <f t="shared" si="4"/>
        <v>3.0891577600000052E-4</v>
      </c>
      <c r="H65" s="16">
        <f t="shared" si="5"/>
        <v>8.0318101760000151E-5</v>
      </c>
      <c r="I65" s="16">
        <f t="shared" si="6"/>
        <v>2.0882706457600048E-5</v>
      </c>
      <c r="J65" s="16">
        <f t="shared" si="7"/>
        <v>5.4295036789760143E-6</v>
      </c>
      <c r="K65" s="16">
        <f t="shared" si="8"/>
        <v>1.411670956533764E-6</v>
      </c>
      <c r="L65" s="16">
        <f t="shared" si="9"/>
        <v>3.6703444869877869E-7</v>
      </c>
      <c r="M65" s="16">
        <f t="shared" si="10"/>
        <v>9.5428956661682511E-8</v>
      </c>
      <c r="N65" s="5">
        <f t="shared" si="11"/>
        <v>2.4811528732037457E-8</v>
      </c>
      <c r="P65" s="4">
        <v>58.177026934074831</v>
      </c>
      <c r="Q65" s="5">
        <v>28.697626987244107</v>
      </c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 x14ac:dyDescent="0.25">
      <c r="A66" s="4">
        <v>1</v>
      </c>
      <c r="B66" s="16">
        <f t="shared" si="12"/>
        <v>0.27000000000000007</v>
      </c>
      <c r="C66" s="16">
        <f t="shared" si="0"/>
        <v>7.2900000000000034E-2</v>
      </c>
      <c r="D66" s="16">
        <f t="shared" si="1"/>
        <v>1.9683000000000013E-2</v>
      </c>
      <c r="E66" s="16">
        <f t="shared" si="2"/>
        <v>5.3144100000000047E-3</v>
      </c>
      <c r="F66" s="16">
        <f t="shared" si="3"/>
        <v>1.4348907000000016E-3</v>
      </c>
      <c r="G66" s="16">
        <f t="shared" si="4"/>
        <v>3.8742048900000051E-4</v>
      </c>
      <c r="H66" s="16">
        <f t="shared" si="5"/>
        <v>1.0460353203000016E-4</v>
      </c>
      <c r="I66" s="16">
        <f t="shared" si="6"/>
        <v>2.8242953648100048E-5</v>
      </c>
      <c r="J66" s="16">
        <f t="shared" si="7"/>
        <v>7.6255974849870154E-6</v>
      </c>
      <c r="K66" s="16">
        <f t="shared" si="8"/>
        <v>2.0589113209464944E-6</v>
      </c>
      <c r="L66" s="16">
        <f t="shared" si="9"/>
        <v>5.5590605665555363E-7</v>
      </c>
      <c r="M66" s="16">
        <f t="shared" si="10"/>
        <v>1.500946352969995E-7</v>
      </c>
      <c r="N66" s="5">
        <f t="shared" si="11"/>
        <v>4.0525551530189878E-8</v>
      </c>
      <c r="P66" s="4">
        <v>59.647068590251948</v>
      </c>
      <c r="Q66" s="5">
        <v>29.387279863136801</v>
      </c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 x14ac:dyDescent="0.25">
      <c r="A67" s="4">
        <v>1</v>
      </c>
      <c r="B67" s="16">
        <f t="shared" si="12"/>
        <v>0.28000000000000008</v>
      </c>
      <c r="C67" s="16">
        <f t="shared" si="0"/>
        <v>7.8400000000000039E-2</v>
      </c>
      <c r="D67" s="16">
        <f t="shared" si="1"/>
        <v>2.1952000000000017E-2</v>
      </c>
      <c r="E67" s="16">
        <f t="shared" si="2"/>
        <v>6.1465600000000058E-3</v>
      </c>
      <c r="F67" s="16">
        <f t="shared" si="3"/>
        <v>1.721036800000002E-3</v>
      </c>
      <c r="G67" s="16">
        <f t="shared" si="4"/>
        <v>4.8189030400000069E-4</v>
      </c>
      <c r="H67" s="16">
        <f t="shared" si="5"/>
        <v>1.3492928512000022E-4</v>
      </c>
      <c r="I67" s="16">
        <f t="shared" si="6"/>
        <v>3.7780199833600074E-5</v>
      </c>
      <c r="J67" s="16">
        <f t="shared" si="7"/>
        <v>1.0578455953408024E-5</v>
      </c>
      <c r="K67" s="16">
        <f t="shared" si="8"/>
        <v>2.9619676669542474E-6</v>
      </c>
      <c r="L67" s="16">
        <f t="shared" si="9"/>
        <v>8.2935094674718946E-7</v>
      </c>
      <c r="M67" s="16">
        <f t="shared" si="10"/>
        <v>2.3221826508921309E-7</v>
      </c>
      <c r="N67" s="5">
        <f t="shared" si="11"/>
        <v>6.502111422497968E-8</v>
      </c>
      <c r="P67" s="4">
        <v>61.07364514302067</v>
      </c>
      <c r="Q67" s="5">
        <v>30.134442128729589</v>
      </c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 x14ac:dyDescent="0.25">
      <c r="A68" s="4">
        <v>1</v>
      </c>
      <c r="B68" s="16">
        <f t="shared" si="12"/>
        <v>0.29000000000000009</v>
      </c>
      <c r="C68" s="16">
        <f t="shared" si="0"/>
        <v>8.410000000000005E-2</v>
      </c>
      <c r="D68" s="16">
        <f t="shared" si="1"/>
        <v>2.4389000000000022E-2</v>
      </c>
      <c r="E68" s="16">
        <f t="shared" si="2"/>
        <v>7.0728100000000084E-3</v>
      </c>
      <c r="F68" s="16">
        <f t="shared" si="3"/>
        <v>2.0511149000000031E-3</v>
      </c>
      <c r="G68" s="16">
        <f t="shared" si="4"/>
        <v>5.9482332100000107E-4</v>
      </c>
      <c r="H68" s="16">
        <f t="shared" si="5"/>
        <v>1.7249876309000036E-4</v>
      </c>
      <c r="I68" s="16">
        <f t="shared" si="6"/>
        <v>5.002464129610012E-5</v>
      </c>
      <c r="J68" s="16">
        <f t="shared" si="7"/>
        <v>1.4507145975869039E-5</v>
      </c>
      <c r="K68" s="16">
        <f t="shared" si="8"/>
        <v>4.207072333002023E-6</v>
      </c>
      <c r="L68" s="16">
        <f t="shared" si="9"/>
        <v>1.220050976570587E-6</v>
      </c>
      <c r="M68" s="16">
        <f t="shared" si="10"/>
        <v>3.5381478320547029E-7</v>
      </c>
      <c r="N68" s="5">
        <f t="shared" si="11"/>
        <v>1.0260628712958643E-7</v>
      </c>
      <c r="P68" s="4">
        <v>62.439374497930011</v>
      </c>
      <c r="Q68" s="5">
        <v>30.931242120042597</v>
      </c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 x14ac:dyDescent="0.25">
      <c r="A69" s="4">
        <v>1</v>
      </c>
      <c r="B69" s="16">
        <f t="shared" si="12"/>
        <v>0.3000000000000001</v>
      </c>
      <c r="C69" s="16">
        <f t="shared" si="0"/>
        <v>9.0000000000000066E-2</v>
      </c>
      <c r="D69" s="16">
        <f t="shared" si="1"/>
        <v>2.7000000000000027E-2</v>
      </c>
      <c r="E69" s="16">
        <f t="shared" si="2"/>
        <v>8.1000000000000117E-3</v>
      </c>
      <c r="F69" s="16">
        <f t="shared" si="3"/>
        <v>2.4300000000000042E-3</v>
      </c>
      <c r="G69" s="16">
        <f t="shared" si="4"/>
        <v>7.2900000000000157E-4</v>
      </c>
      <c r="H69" s="16">
        <f t="shared" si="5"/>
        <v>2.1870000000000055E-4</v>
      </c>
      <c r="I69" s="16">
        <f t="shared" si="6"/>
        <v>6.5610000000000193E-5</v>
      </c>
      <c r="J69" s="16">
        <f t="shared" si="7"/>
        <v>1.9683000000000065E-5</v>
      </c>
      <c r="K69" s="16">
        <f t="shared" si="8"/>
        <v>5.904900000000022E-6</v>
      </c>
      <c r="L69" s="16">
        <f t="shared" si="9"/>
        <v>1.7714700000000071E-6</v>
      </c>
      <c r="M69" s="16">
        <f t="shared" si="10"/>
        <v>5.314410000000023E-7</v>
      </c>
      <c r="N69" s="5">
        <f t="shared" si="11"/>
        <v>1.5943230000000074E-7</v>
      </c>
      <c r="P69" s="4">
        <v>63.729031112080882</v>
      </c>
      <c r="Q69" s="5">
        <v>31.769894106307515</v>
      </c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 x14ac:dyDescent="0.25">
      <c r="A70" s="4">
        <v>1</v>
      </c>
      <c r="B70" s="16">
        <f t="shared" si="12"/>
        <v>0.31000000000000011</v>
      </c>
      <c r="C70" s="16">
        <f t="shared" si="0"/>
        <v>9.6100000000000074E-2</v>
      </c>
      <c r="D70" s="16">
        <f t="shared" si="1"/>
        <v>2.9791000000000033E-2</v>
      </c>
      <c r="E70" s="16">
        <f t="shared" si="2"/>
        <v>9.2352100000000145E-3</v>
      </c>
      <c r="F70" s="16">
        <f t="shared" si="3"/>
        <v>2.8629151000000054E-3</v>
      </c>
      <c r="G70" s="16">
        <f t="shared" si="4"/>
        <v>8.8750368100000204E-4</v>
      </c>
      <c r="H70" s="16">
        <f t="shared" si="5"/>
        <v>2.7512614111000074E-4</v>
      </c>
      <c r="I70" s="16">
        <f t="shared" si="6"/>
        <v>8.5289103744100268E-5</v>
      </c>
      <c r="J70" s="16">
        <f t="shared" si="7"/>
        <v>2.6439622160671092E-5</v>
      </c>
      <c r="K70" s="16">
        <f t="shared" si="8"/>
        <v>8.1962828698080425E-6</v>
      </c>
      <c r="L70" s="16">
        <f t="shared" si="9"/>
        <v>2.5408476896404937E-6</v>
      </c>
      <c r="M70" s="16">
        <f t="shared" si="10"/>
        <v>7.8766278378855346E-7</v>
      </c>
      <c r="N70" s="5">
        <f t="shared" si="11"/>
        <v>2.4417546297445165E-7</v>
      </c>
      <c r="P70" s="4">
        <v>64.929587279767489</v>
      </c>
      <c r="Q70" s="5">
        <v>32.642831880085204</v>
      </c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 x14ac:dyDescent="0.25">
      <c r="A71" s="4">
        <v>1</v>
      </c>
      <c r="B71" s="16">
        <f t="shared" si="12"/>
        <v>0.32000000000000012</v>
      </c>
      <c r="C71" s="16">
        <f t="shared" si="0"/>
        <v>0.10240000000000007</v>
      </c>
      <c r="D71" s="16">
        <f t="shared" si="1"/>
        <v>3.2768000000000033E-2</v>
      </c>
      <c r="E71" s="16">
        <f t="shared" si="2"/>
        <v>1.0485760000000016E-2</v>
      </c>
      <c r="F71" s="16">
        <f t="shared" si="3"/>
        <v>3.3554432000000062E-3</v>
      </c>
      <c r="G71" s="16">
        <f t="shared" si="4"/>
        <v>1.0737418240000024E-3</v>
      </c>
      <c r="H71" s="16">
        <f t="shared" si="5"/>
        <v>3.4359738368000087E-4</v>
      </c>
      <c r="I71" s="16">
        <f t="shared" si="6"/>
        <v>1.0995116277760034E-4</v>
      </c>
      <c r="J71" s="16">
        <f t="shared" si="7"/>
        <v>3.5184372088832118E-5</v>
      </c>
      <c r="K71" s="16">
        <f t="shared" si="8"/>
        <v>1.1258999068426283E-5</v>
      </c>
      <c r="L71" s="16">
        <f t="shared" si="9"/>
        <v>3.6028797018964114E-6</v>
      </c>
      <c r="M71" s="16">
        <f t="shared" si="10"/>
        <v>1.1529215046068522E-6</v>
      </c>
      <c r="N71" s="5">
        <f t="shared" si="11"/>
        <v>3.6893488147419285E-7</v>
      </c>
      <c r="P71" s="4">
        <v>66.030229933482261</v>
      </c>
      <c r="Q71" s="5">
        <v>33.542826633450709</v>
      </c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 x14ac:dyDescent="0.25">
      <c r="A72" s="4">
        <v>1</v>
      </c>
      <c r="B72" s="16">
        <f t="shared" si="12"/>
        <v>0.33000000000000013</v>
      </c>
      <c r="C72" s="16">
        <f t="shared" si="0"/>
        <v>0.10890000000000008</v>
      </c>
      <c r="D72" s="16">
        <f t="shared" si="1"/>
        <v>3.5937000000000038E-2</v>
      </c>
      <c r="E72" s="16">
        <f t="shared" si="2"/>
        <v>1.1859210000000018E-2</v>
      </c>
      <c r="F72" s="16">
        <f t="shared" si="3"/>
        <v>3.9135393000000072E-3</v>
      </c>
      <c r="G72" s="16">
        <f t="shared" si="4"/>
        <v>1.2914679690000028E-3</v>
      </c>
      <c r="H72" s="16">
        <f t="shared" si="5"/>
        <v>4.2618442977000108E-4</v>
      </c>
      <c r="I72" s="16">
        <f t="shared" si="6"/>
        <v>1.4064086182410043E-4</v>
      </c>
      <c r="J72" s="16">
        <f t="shared" si="7"/>
        <v>4.641148440195316E-5</v>
      </c>
      <c r="K72" s="16">
        <f t="shared" si="8"/>
        <v>1.5315789852644547E-5</v>
      </c>
      <c r="L72" s="16">
        <f t="shared" si="9"/>
        <v>5.0542106513727026E-6</v>
      </c>
      <c r="M72" s="16">
        <f t="shared" si="10"/>
        <v>1.6678895149529926E-6</v>
      </c>
      <c r="N72" s="5">
        <f t="shared" si="11"/>
        <v>5.504035399344877E-7</v>
      </c>
      <c r="P72" s="4">
        <v>67.022354312988298</v>
      </c>
      <c r="Q72" s="5">
        <v>34.463089336984126</v>
      </c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 x14ac:dyDescent="0.25">
      <c r="A73" s="4">
        <v>1</v>
      </c>
      <c r="B73" s="16">
        <f t="shared" si="12"/>
        <v>0.34000000000000014</v>
      </c>
      <c r="C73" s="16">
        <f t="shared" si="0"/>
        <v>0.11560000000000009</v>
      </c>
      <c r="D73" s="16">
        <f t="shared" si="1"/>
        <v>3.9304000000000047E-2</v>
      </c>
      <c r="E73" s="16">
        <f t="shared" si="2"/>
        <v>1.3363360000000022E-2</v>
      </c>
      <c r="F73" s="16">
        <f t="shared" si="3"/>
        <v>4.5435424000000091E-3</v>
      </c>
      <c r="G73" s="16">
        <f t="shared" si="4"/>
        <v>1.5448044160000039E-3</v>
      </c>
      <c r="H73" s="16">
        <f t="shared" si="5"/>
        <v>5.2523350144000145E-4</v>
      </c>
      <c r="I73" s="16">
        <f t="shared" si="6"/>
        <v>1.7857939048960059E-4</v>
      </c>
      <c r="J73" s="16">
        <f t="shared" si="7"/>
        <v>6.0716992766464223E-5</v>
      </c>
      <c r="K73" s="16">
        <f t="shared" si="8"/>
        <v>2.0643777540597844E-5</v>
      </c>
      <c r="L73" s="16">
        <f t="shared" si="9"/>
        <v>7.0188843638032701E-6</v>
      </c>
      <c r="M73" s="16">
        <f t="shared" si="10"/>
        <v>2.386420683693113E-6</v>
      </c>
      <c r="N73" s="5">
        <f t="shared" si="11"/>
        <v>8.1138303245565866E-7</v>
      </c>
      <c r="P73" s="4">
        <v>67.899535732618432</v>
      </c>
      <c r="Q73" s="5">
        <v>35.397357946614193</v>
      </c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 x14ac:dyDescent="0.25">
      <c r="A74" s="4">
        <v>1</v>
      </c>
      <c r="B74" s="16">
        <f t="shared" si="12"/>
        <v>0.35000000000000014</v>
      </c>
      <c r="C74" s="16">
        <f t="shared" si="0"/>
        <v>0.12250000000000009</v>
      </c>
      <c r="D74" s="16">
        <f t="shared" si="1"/>
        <v>4.2875000000000052E-2</v>
      </c>
      <c r="E74" s="16">
        <f t="shared" si="2"/>
        <v>1.5006250000000023E-2</v>
      </c>
      <c r="F74" s="16">
        <f t="shared" si="3"/>
        <v>5.2521875000000103E-3</v>
      </c>
      <c r="G74" s="16">
        <f t="shared" si="4"/>
        <v>1.8382656250000042E-3</v>
      </c>
      <c r="H74" s="16">
        <f t="shared" si="5"/>
        <v>6.4339296875000178E-4</v>
      </c>
      <c r="I74" s="16">
        <f t="shared" si="6"/>
        <v>2.251875390625007E-4</v>
      </c>
      <c r="J74" s="16">
        <f t="shared" si="7"/>
        <v>7.8815638671875284E-5</v>
      </c>
      <c r="K74" s="16">
        <f t="shared" si="8"/>
        <v>2.7585473535156356E-5</v>
      </c>
      <c r="L74" s="16">
        <f t="shared" si="9"/>
        <v>9.6549157373047289E-6</v>
      </c>
      <c r="M74" s="16">
        <f t="shared" si="10"/>
        <v>3.3792205080566564E-6</v>
      </c>
      <c r="N74" s="5">
        <f t="shared" si="11"/>
        <v>1.1827271778198302E-6</v>
      </c>
      <c r="P74" s="4">
        <v>68.657480591359828</v>
      </c>
      <c r="Q74" s="5">
        <v>36.339969854453578</v>
      </c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 x14ac:dyDescent="0.25">
      <c r="A75" s="4">
        <v>1</v>
      </c>
      <c r="B75" s="16">
        <f t="shared" si="12"/>
        <v>0.36000000000000015</v>
      </c>
      <c r="C75" s="16">
        <f t="shared" si="0"/>
        <v>0.1296000000000001</v>
      </c>
      <c r="D75" s="16">
        <f t="shared" si="1"/>
        <v>4.6656000000000059E-2</v>
      </c>
      <c r="E75" s="16">
        <f t="shared" si="2"/>
        <v>1.6796160000000025E-2</v>
      </c>
      <c r="F75" s="16">
        <f t="shared" si="3"/>
        <v>6.0466176000000113E-3</v>
      </c>
      <c r="G75" s="16">
        <f t="shared" si="4"/>
        <v>2.1767823360000051E-3</v>
      </c>
      <c r="H75" s="16">
        <f t="shared" si="5"/>
        <v>7.8364164096000216E-4</v>
      </c>
      <c r="I75" s="16">
        <f t="shared" si="6"/>
        <v>2.8211099074560087E-4</v>
      </c>
      <c r="J75" s="16">
        <f t="shared" si="7"/>
        <v>1.0155995666841635E-4</v>
      </c>
      <c r="K75" s="16">
        <f t="shared" si="8"/>
        <v>3.6561584400629903E-5</v>
      </c>
      <c r="L75" s="16">
        <f t="shared" si="9"/>
        <v>1.3162170384226771E-5</v>
      </c>
      <c r="M75" s="16">
        <f t="shared" si="10"/>
        <v>4.7383813383216388E-6</v>
      </c>
      <c r="N75" s="5">
        <f t="shared" si="11"/>
        <v>1.7058172817957906E-6</v>
      </c>
      <c r="P75" s="4">
        <v>69.293957718145251</v>
      </c>
      <c r="Q75" s="5">
        <v>37.285920074792045</v>
      </c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 x14ac:dyDescent="0.25">
      <c r="A76" s="4">
        <v>1</v>
      </c>
      <c r="B76" s="16">
        <f t="shared" si="12"/>
        <v>0.37000000000000016</v>
      </c>
      <c r="C76" s="16">
        <f t="shared" si="0"/>
        <v>0.13690000000000013</v>
      </c>
      <c r="D76" s="16">
        <f t="shared" si="1"/>
        <v>5.0653000000000073E-2</v>
      </c>
      <c r="E76" s="16">
        <f t="shared" si="2"/>
        <v>1.8741610000000037E-2</v>
      </c>
      <c r="F76" s="16">
        <f t="shared" si="3"/>
        <v>6.9343957000000166E-3</v>
      </c>
      <c r="G76" s="16">
        <f t="shared" si="4"/>
        <v>2.5657264090000074E-3</v>
      </c>
      <c r="H76" s="16">
        <f t="shared" si="5"/>
        <v>9.4931877133000323E-4</v>
      </c>
      <c r="I76" s="16">
        <f t="shared" si="6"/>
        <v>3.5124794539210136E-4</v>
      </c>
      <c r="J76" s="16">
        <f t="shared" si="7"/>
        <v>1.2996173979507757E-4</v>
      </c>
      <c r="K76" s="16">
        <f t="shared" si="8"/>
        <v>4.8085843724178723E-5</v>
      </c>
      <c r="L76" s="16">
        <f t="shared" si="9"/>
        <v>1.7791762177946136E-5</v>
      </c>
      <c r="M76" s="16">
        <f t="shared" si="10"/>
        <v>6.5829520058400735E-6</v>
      </c>
      <c r="N76" s="5">
        <f t="shared" si="11"/>
        <v>2.4356922421608285E-6</v>
      </c>
      <c r="P76" s="4">
        <v>69.808711122860799</v>
      </c>
      <c r="Q76" s="5">
        <v>38.230905716605193</v>
      </c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 x14ac:dyDescent="0.25">
      <c r="A77" s="4">
        <v>1</v>
      </c>
      <c r="B77" s="16">
        <f t="shared" si="12"/>
        <v>0.38000000000000017</v>
      </c>
      <c r="C77" s="16">
        <f t="shared" si="0"/>
        <v>0.14440000000000014</v>
      </c>
      <c r="D77" s="16">
        <f t="shared" si="1"/>
        <v>5.487200000000008E-2</v>
      </c>
      <c r="E77" s="16">
        <f t="shared" si="2"/>
        <v>2.0851360000000041E-2</v>
      </c>
      <c r="F77" s="16">
        <f t="shared" si="3"/>
        <v>7.9235168000000196E-3</v>
      </c>
      <c r="G77" s="16">
        <f t="shared" si="4"/>
        <v>3.010936384000009E-3</v>
      </c>
      <c r="H77" s="16">
        <f t="shared" si="5"/>
        <v>1.1441558259200038E-3</v>
      </c>
      <c r="I77" s="16">
        <f t="shared" si="6"/>
        <v>4.347792138496017E-4</v>
      </c>
      <c r="J77" s="16">
        <f t="shared" si="7"/>
        <v>1.6521610126284873E-4</v>
      </c>
      <c r="K77" s="16">
        <f t="shared" si="8"/>
        <v>6.2782118479882544E-5</v>
      </c>
      <c r="L77" s="16">
        <f t="shared" si="9"/>
        <v>2.3857205022355381E-5</v>
      </c>
      <c r="M77" s="16">
        <f t="shared" si="10"/>
        <v>9.0657379084950486E-6</v>
      </c>
      <c r="N77" s="5">
        <f t="shared" si="11"/>
        <v>3.4449804052281204E-6</v>
      </c>
      <c r="P77" s="4">
        <v>70.20335522861312</v>
      </c>
      <c r="Q77" s="5">
        <v>39.171357340578354</v>
      </c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 x14ac:dyDescent="0.25">
      <c r="A78" s="4">
        <v>1</v>
      </c>
      <c r="B78" s="16">
        <f t="shared" si="12"/>
        <v>0.39000000000000018</v>
      </c>
      <c r="C78" s="16">
        <f t="shared" si="0"/>
        <v>0.15210000000000015</v>
      </c>
      <c r="D78" s="16">
        <f t="shared" si="1"/>
        <v>5.9319000000000087E-2</v>
      </c>
      <c r="E78" s="16">
        <f t="shared" si="2"/>
        <v>2.3134410000000046E-2</v>
      </c>
      <c r="F78" s="16">
        <f t="shared" si="3"/>
        <v>9.0224199000000227E-3</v>
      </c>
      <c r="G78" s="16">
        <f t="shared" si="4"/>
        <v>3.5187437610000104E-3</v>
      </c>
      <c r="H78" s="16">
        <f t="shared" si="5"/>
        <v>1.3723100667900048E-3</v>
      </c>
      <c r="I78" s="16">
        <f t="shared" si="6"/>
        <v>5.3520092604810213E-4</v>
      </c>
      <c r="J78" s="16">
        <f t="shared" si="7"/>
        <v>2.0872836115875992E-4</v>
      </c>
      <c r="K78" s="16">
        <f t="shared" si="8"/>
        <v>8.140406085191641E-5</v>
      </c>
      <c r="L78" s="16">
        <f t="shared" si="9"/>
        <v>3.1747583732247414E-5</v>
      </c>
      <c r="M78" s="16">
        <f t="shared" si="10"/>
        <v>1.2381557655576499E-5</v>
      </c>
      <c r="N78" s="5">
        <f t="shared" si="11"/>
        <v>4.8288074856748373E-6</v>
      </c>
      <c r="P78" s="4">
        <v>70.481253689751341</v>
      </c>
      <c r="Q78" s="5">
        <v>40.104457833046091</v>
      </c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 x14ac:dyDescent="0.25">
      <c r="A79" s="4">
        <v>1</v>
      </c>
      <c r="B79" s="16">
        <f t="shared" si="12"/>
        <v>0.40000000000000019</v>
      </c>
      <c r="C79" s="16">
        <f t="shared" si="0"/>
        <v>0.16000000000000014</v>
      </c>
      <c r="D79" s="16">
        <f t="shared" si="1"/>
        <v>6.4000000000000085E-2</v>
      </c>
      <c r="E79" s="16">
        <f t="shared" si="2"/>
        <v>2.5600000000000046E-2</v>
      </c>
      <c r="F79" s="16">
        <f t="shared" si="3"/>
        <v>1.0240000000000023E-2</v>
      </c>
      <c r="G79" s="16">
        <f t="shared" si="4"/>
        <v>4.0960000000000111E-3</v>
      </c>
      <c r="H79" s="16">
        <f t="shared" si="5"/>
        <v>1.6384000000000051E-3</v>
      </c>
      <c r="I79" s="16">
        <f t="shared" si="6"/>
        <v>6.553600000000024E-4</v>
      </c>
      <c r="J79" s="16">
        <f t="shared" si="7"/>
        <v>2.621440000000011E-4</v>
      </c>
      <c r="K79" s="16">
        <f t="shared" si="8"/>
        <v>1.0485760000000048E-4</v>
      </c>
      <c r="L79" s="16">
        <f t="shared" si="9"/>
        <v>4.1943040000000208E-5</v>
      </c>
      <c r="M79" s="16">
        <f t="shared" si="10"/>
        <v>1.6777216000000091E-5</v>
      </c>
      <c r="N79" s="5">
        <f t="shared" si="11"/>
        <v>6.71088640000004E-6</v>
      </c>
      <c r="P79" s="4">
        <v>70.647382949887728</v>
      </c>
      <c r="Q79" s="5">
        <v>41.028149452799958</v>
      </c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 x14ac:dyDescent="0.25">
      <c r="A80" s="4">
        <v>1</v>
      </c>
      <c r="B80" s="16">
        <f t="shared" si="12"/>
        <v>0.4100000000000002</v>
      </c>
      <c r="C80" s="16">
        <f t="shared" si="0"/>
        <v>0.16810000000000017</v>
      </c>
      <c r="D80" s="16">
        <f t="shared" si="1"/>
        <v>6.8921000000000107E-2</v>
      </c>
      <c r="E80" s="16">
        <f t="shared" si="2"/>
        <v>2.8257610000000054E-2</v>
      </c>
      <c r="F80" s="16">
        <f t="shared" si="3"/>
        <v>1.1585620100000029E-2</v>
      </c>
      <c r="G80" s="16">
        <f t="shared" si="4"/>
        <v>4.750104241000014E-3</v>
      </c>
      <c r="H80" s="16">
        <f t="shared" si="5"/>
        <v>1.9475427388100067E-3</v>
      </c>
      <c r="I80" s="16">
        <f t="shared" si="6"/>
        <v>7.9849252291210309E-4</v>
      </c>
      <c r="J80" s="16">
        <f t="shared" si="7"/>
        <v>3.2738193439396245E-4</v>
      </c>
      <c r="K80" s="16">
        <f t="shared" si="8"/>
        <v>1.3422659310152467E-4</v>
      </c>
      <c r="L80" s="16">
        <f t="shared" si="9"/>
        <v>5.5032903171625139E-5</v>
      </c>
      <c r="M80" s="16">
        <f t="shared" si="10"/>
        <v>2.2563490300366317E-5</v>
      </c>
      <c r="N80" s="5">
        <f t="shared" si="11"/>
        <v>9.2510310231501946E-6</v>
      </c>
      <c r="P80" s="4">
        <v>70.708181761775961</v>
      </c>
      <c r="Q80" s="5">
        <v>41.941129720770313</v>
      </c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 x14ac:dyDescent="0.25">
      <c r="A81" s="4">
        <v>1</v>
      </c>
      <c r="B81" s="16">
        <f t="shared" si="12"/>
        <v>0.42000000000000021</v>
      </c>
      <c r="C81" s="16">
        <f t="shared" si="0"/>
        <v>0.17640000000000017</v>
      </c>
      <c r="D81" s="16">
        <f t="shared" si="1"/>
        <v>7.4088000000000112E-2</v>
      </c>
      <c r="E81" s="16">
        <f t="shared" si="2"/>
        <v>3.1116960000000058E-2</v>
      </c>
      <c r="F81" s="16">
        <f t="shared" si="3"/>
        <v>1.3069123200000031E-2</v>
      </c>
      <c r="G81" s="16">
        <f t="shared" si="4"/>
        <v>5.4890317440000154E-3</v>
      </c>
      <c r="H81" s="16">
        <f t="shared" si="5"/>
        <v>2.3053933324800077E-3</v>
      </c>
      <c r="I81" s="16">
        <f t="shared" si="6"/>
        <v>9.6826519964160365E-4</v>
      </c>
      <c r="J81" s="16">
        <f t="shared" si="7"/>
        <v>4.0667138384947374E-4</v>
      </c>
      <c r="K81" s="16">
        <f t="shared" si="8"/>
        <v>1.7080198121677905E-4</v>
      </c>
      <c r="L81" s="16">
        <f t="shared" si="9"/>
        <v>7.1736832111047241E-5</v>
      </c>
      <c r="M81" s="16">
        <f t="shared" si="10"/>
        <v>3.0129469486639851E-5</v>
      </c>
      <c r="N81" s="5">
        <f t="shared" si="11"/>
        <v>1.2654377184388743E-5</v>
      </c>
      <c r="P81" s="4">
        <v>70.671387973361206</v>
      </c>
      <c r="Q81" s="5">
        <v>42.842836828566767</v>
      </c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 x14ac:dyDescent="0.25">
      <c r="A82" s="4">
        <v>1</v>
      </c>
      <c r="B82" s="16">
        <f t="shared" si="12"/>
        <v>0.43000000000000022</v>
      </c>
      <c r="C82" s="16">
        <f t="shared" si="0"/>
        <v>0.18490000000000018</v>
      </c>
      <c r="D82" s="16">
        <f t="shared" si="1"/>
        <v>7.9507000000000119E-2</v>
      </c>
      <c r="E82" s="16">
        <f t="shared" si="2"/>
        <v>3.4188010000000067E-2</v>
      </c>
      <c r="F82" s="16">
        <f t="shared" si="3"/>
        <v>1.4700844300000036E-2</v>
      </c>
      <c r="G82" s="16">
        <f t="shared" si="4"/>
        <v>6.3213630490000184E-3</v>
      </c>
      <c r="H82" s="16">
        <f t="shared" si="5"/>
        <v>2.7181861110700096E-3</v>
      </c>
      <c r="I82" s="16">
        <f t="shared" si="6"/>
        <v>1.1688200277601046E-3</v>
      </c>
      <c r="J82" s="16">
        <f t="shared" si="7"/>
        <v>5.0259261193684522E-4</v>
      </c>
      <c r="K82" s="16">
        <f t="shared" si="8"/>
        <v>2.1611482313284354E-4</v>
      </c>
      <c r="L82" s="16">
        <f t="shared" si="9"/>
        <v>9.2929373947122783E-5</v>
      </c>
      <c r="M82" s="16">
        <f t="shared" si="10"/>
        <v>3.9959630797262814E-5</v>
      </c>
      <c r="N82" s="5">
        <f t="shared" si="11"/>
        <v>1.7182641242823017E-5</v>
      </c>
      <c r="P82" s="4">
        <v>70.545863978767684</v>
      </c>
      <c r="Q82" s="5">
        <v>43.733425241144126</v>
      </c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 x14ac:dyDescent="0.25">
      <c r="A83" s="4">
        <v>1</v>
      </c>
      <c r="B83" s="16">
        <f t="shared" si="12"/>
        <v>0.44000000000000022</v>
      </c>
      <c r="C83" s="16">
        <f t="shared" si="0"/>
        <v>0.19360000000000019</v>
      </c>
      <c r="D83" s="16">
        <f t="shared" si="1"/>
        <v>8.5184000000000121E-2</v>
      </c>
      <c r="E83" s="16">
        <f t="shared" si="2"/>
        <v>3.748096000000007E-2</v>
      </c>
      <c r="F83" s="16">
        <f t="shared" si="3"/>
        <v>1.6491622400000041E-2</v>
      </c>
      <c r="G83" s="16">
        <f t="shared" si="4"/>
        <v>7.2563138560000203E-3</v>
      </c>
      <c r="H83" s="16">
        <f t="shared" si="5"/>
        <v>3.1927780966400105E-3</v>
      </c>
      <c r="I83" s="16">
        <f t="shared" si="6"/>
        <v>1.4048223625216052E-3</v>
      </c>
      <c r="J83" s="16">
        <f t="shared" si="7"/>
        <v>6.1812183950950663E-4</v>
      </c>
      <c r="K83" s="16">
        <f t="shared" si="8"/>
        <v>2.7197360938418304E-4</v>
      </c>
      <c r="L83" s="16">
        <f t="shared" si="9"/>
        <v>1.1966838812904059E-4</v>
      </c>
      <c r="M83" s="16">
        <f t="shared" si="10"/>
        <v>5.265409077677788E-5</v>
      </c>
      <c r="N83" s="5">
        <f t="shared" si="11"/>
        <v>2.3167799941782282E-5</v>
      </c>
      <c r="P83" s="4">
        <v>70.341412336438651</v>
      </c>
      <c r="Q83" s="5">
        <v>44.613732162838659</v>
      </c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 x14ac:dyDescent="0.25">
      <c r="A84" s="4">
        <v>1</v>
      </c>
      <c r="B84" s="16">
        <f t="shared" si="12"/>
        <v>0.45000000000000023</v>
      </c>
      <c r="C84" s="16">
        <f t="shared" si="0"/>
        <v>0.20250000000000021</v>
      </c>
      <c r="D84" s="16">
        <f t="shared" si="1"/>
        <v>9.1125000000000136E-2</v>
      </c>
      <c r="E84" s="16">
        <f t="shared" si="2"/>
        <v>4.1006250000000084E-2</v>
      </c>
      <c r="F84" s="16">
        <f t="shared" si="3"/>
        <v>1.8452812500000047E-2</v>
      </c>
      <c r="G84" s="16">
        <f t="shared" si="4"/>
        <v>8.3037656250000251E-3</v>
      </c>
      <c r="H84" s="16">
        <f t="shared" si="5"/>
        <v>3.7366945312500132E-3</v>
      </c>
      <c r="I84" s="16">
        <f t="shared" si="6"/>
        <v>1.6815125390625069E-3</v>
      </c>
      <c r="J84" s="16">
        <f t="shared" si="7"/>
        <v>7.5668064257812854E-4</v>
      </c>
      <c r="K84" s="16">
        <f t="shared" si="8"/>
        <v>3.4050628916015797E-4</v>
      </c>
      <c r="L84" s="16">
        <f t="shared" si="9"/>
        <v>1.5322783012207118E-4</v>
      </c>
      <c r="M84" s="16">
        <f t="shared" si="10"/>
        <v>6.895252355493206E-5</v>
      </c>
      <c r="N84" s="5">
        <f t="shared" si="11"/>
        <v>3.1028635599719444E-5</v>
      </c>
      <c r="P84" s="4">
        <v>70.068583166243229</v>
      </c>
      <c r="Q84" s="5">
        <v>45.485235526066589</v>
      </c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 x14ac:dyDescent="0.25">
      <c r="A85" s="4">
        <v>1</v>
      </c>
      <c r="B85" s="16">
        <f t="shared" si="12"/>
        <v>0.46000000000000024</v>
      </c>
      <c r="C85" s="16">
        <f t="shared" si="0"/>
        <v>0.21160000000000023</v>
      </c>
      <c r="D85" s="16">
        <f t="shared" si="1"/>
        <v>9.7336000000000159E-2</v>
      </c>
      <c r="E85" s="16">
        <f t="shared" si="2"/>
        <v>4.4774560000000095E-2</v>
      </c>
      <c r="F85" s="16">
        <f t="shared" si="3"/>
        <v>2.0596297600000056E-2</v>
      </c>
      <c r="G85" s="16">
        <f t="shared" si="4"/>
        <v>9.4742968960000312E-3</v>
      </c>
      <c r="H85" s="16">
        <f t="shared" si="5"/>
        <v>4.3581765721600165E-3</v>
      </c>
      <c r="I85" s="16">
        <f t="shared" si="6"/>
        <v>2.0047612231936084E-3</v>
      </c>
      <c r="J85" s="16">
        <f t="shared" si="7"/>
        <v>9.2219016266906033E-4</v>
      </c>
      <c r="K85" s="16">
        <f t="shared" si="8"/>
        <v>4.2420747482776799E-4</v>
      </c>
      <c r="L85" s="16">
        <f t="shared" si="9"/>
        <v>1.9513543842077338E-4</v>
      </c>
      <c r="M85" s="16">
        <f t="shared" si="10"/>
        <v>8.9762301673555804E-5</v>
      </c>
      <c r="N85" s="5">
        <f t="shared" si="11"/>
        <v>4.1290658769835692E-5</v>
      </c>
      <c r="P85" s="4">
        <v>69.738475050265166</v>
      </c>
      <c r="Q85" s="5">
        <v>46.350004149405159</v>
      </c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 x14ac:dyDescent="0.25">
      <c r="A86" s="4">
        <v>1</v>
      </c>
      <c r="B86" s="16">
        <f t="shared" si="12"/>
        <v>0.47000000000000025</v>
      </c>
      <c r="C86" s="16">
        <f t="shared" si="0"/>
        <v>0.22090000000000024</v>
      </c>
      <c r="D86" s="16">
        <f t="shared" si="1"/>
        <v>0.10382300000000017</v>
      </c>
      <c r="E86" s="16">
        <f t="shared" si="2"/>
        <v>4.8796810000000107E-2</v>
      </c>
      <c r="F86" s="16">
        <f t="shared" si="3"/>
        <v>2.2934500700000061E-2</v>
      </c>
      <c r="G86" s="16">
        <f t="shared" si="4"/>
        <v>1.0779215329000036E-2</v>
      </c>
      <c r="H86" s="16">
        <f t="shared" si="5"/>
        <v>5.0662312046300196E-3</v>
      </c>
      <c r="I86" s="16">
        <f t="shared" si="6"/>
        <v>2.3811286661761105E-3</v>
      </c>
      <c r="J86" s="16">
        <f t="shared" si="7"/>
        <v>1.1191304731027725E-3</v>
      </c>
      <c r="K86" s="16">
        <f t="shared" si="8"/>
        <v>5.2599132235830342E-4</v>
      </c>
      <c r="L86" s="16">
        <f t="shared" si="9"/>
        <v>2.4721592150840269E-4</v>
      </c>
      <c r="M86" s="16">
        <f t="shared" si="10"/>
        <v>1.1619148310894934E-4</v>
      </c>
      <c r="N86" s="5">
        <f t="shared" si="11"/>
        <v>5.460999706120622E-5</v>
      </c>
      <c r="P86" s="4">
        <v>69.362531275118471</v>
      </c>
      <c r="Q86" s="5">
        <v>47.210640697915593</v>
      </c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 x14ac:dyDescent="0.25">
      <c r="A87" s="4">
        <v>1</v>
      </c>
      <c r="B87" s="16">
        <f t="shared" si="12"/>
        <v>0.48000000000000026</v>
      </c>
      <c r="C87" s="16">
        <f t="shared" si="0"/>
        <v>0.23040000000000024</v>
      </c>
      <c r="D87" s="16">
        <f t="shared" si="1"/>
        <v>0.11059200000000018</v>
      </c>
      <c r="E87" s="16">
        <f t="shared" si="2"/>
        <v>5.3084160000000109E-2</v>
      </c>
      <c r="F87" s="16">
        <f t="shared" si="3"/>
        <v>2.5480396800000065E-2</v>
      </c>
      <c r="G87" s="16">
        <f t="shared" si="4"/>
        <v>1.2230590464000038E-2</v>
      </c>
      <c r="H87" s="16">
        <f t="shared" si="5"/>
        <v>5.8706834227200211E-3</v>
      </c>
      <c r="I87" s="16">
        <f t="shared" si="6"/>
        <v>2.8179280429056117E-3</v>
      </c>
      <c r="J87" s="16">
        <f t="shared" si="7"/>
        <v>1.3526054605946943E-3</v>
      </c>
      <c r="K87" s="16">
        <f t="shared" si="8"/>
        <v>6.4925062108545366E-4</v>
      </c>
      <c r="L87" s="16">
        <f t="shared" si="9"/>
        <v>3.1164029812101791E-4</v>
      </c>
      <c r="M87" s="16">
        <f t="shared" si="10"/>
        <v>1.4958734309808867E-4</v>
      </c>
      <c r="N87" s="5">
        <f t="shared" si="11"/>
        <v>7.18019246870826E-5</v>
      </c>
      <c r="P87" s="4">
        <v>68.952333364478662</v>
      </c>
      <c r="Q87" s="5">
        <v>48.070218064608717</v>
      </c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 x14ac:dyDescent="0.25">
      <c r="A88" s="4">
        <v>1</v>
      </c>
      <c r="B88" s="16">
        <f t="shared" si="12"/>
        <v>0.49000000000000027</v>
      </c>
      <c r="C88" s="16">
        <f t="shared" si="0"/>
        <v>0.24010000000000026</v>
      </c>
      <c r="D88" s="16">
        <f t="shared" si="1"/>
        <v>0.11764900000000018</v>
      </c>
      <c r="E88" s="16">
        <f t="shared" si="2"/>
        <v>5.7648010000000124E-2</v>
      </c>
      <c r="F88" s="16">
        <f t="shared" si="3"/>
        <v>2.8247524900000077E-2</v>
      </c>
      <c r="G88" s="16">
        <f t="shared" si="4"/>
        <v>1.3841287201000045E-2</v>
      </c>
      <c r="H88" s="16">
        <f t="shared" si="5"/>
        <v>6.7822307284900255E-3</v>
      </c>
      <c r="I88" s="16">
        <f t="shared" si="6"/>
        <v>3.3232930569601143E-3</v>
      </c>
      <c r="J88" s="16">
        <f t="shared" si="7"/>
        <v>1.6284135979104568E-3</v>
      </c>
      <c r="K88" s="16">
        <f t="shared" si="8"/>
        <v>7.9792266297612426E-4</v>
      </c>
      <c r="L88" s="16">
        <f t="shared" si="9"/>
        <v>3.9098210485830108E-4</v>
      </c>
      <c r="M88" s="16">
        <f t="shared" si="10"/>
        <v>1.9158123138056764E-4</v>
      </c>
      <c r="N88" s="5">
        <f t="shared" si="11"/>
        <v>9.3874803376478206E-5</v>
      </c>
      <c r="P88" s="4">
        <v>68.519393955732667</v>
      </c>
      <c r="Q88" s="5">
        <v>48.932209779123482</v>
      </c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 x14ac:dyDescent="0.25">
      <c r="A89" s="4">
        <v>1</v>
      </c>
      <c r="B89" s="16">
        <f t="shared" si="12"/>
        <v>0.50000000000000022</v>
      </c>
      <c r="C89" s="16">
        <f t="shared" si="0"/>
        <v>0.25000000000000022</v>
      </c>
      <c r="D89" s="16">
        <f t="shared" si="1"/>
        <v>0.12500000000000017</v>
      </c>
      <c r="E89" s="16">
        <f t="shared" si="2"/>
        <v>6.2500000000000111E-2</v>
      </c>
      <c r="F89" s="16">
        <f t="shared" si="3"/>
        <v>3.1250000000000069E-2</v>
      </c>
      <c r="G89" s="16">
        <f t="shared" si="4"/>
        <v>1.5625000000000042E-2</v>
      </c>
      <c r="H89" s="16">
        <f t="shared" si="5"/>
        <v>7.8125000000000243E-3</v>
      </c>
      <c r="I89" s="16">
        <f t="shared" si="6"/>
        <v>3.9062500000000139E-3</v>
      </c>
      <c r="J89" s="16">
        <f t="shared" si="7"/>
        <v>1.9531250000000078E-3</v>
      </c>
      <c r="K89" s="16">
        <f t="shared" si="8"/>
        <v>9.7656250000000434E-4</v>
      </c>
      <c r="L89" s="16">
        <f t="shared" si="9"/>
        <v>4.8828125000000239E-4</v>
      </c>
      <c r="M89" s="16">
        <f t="shared" si="10"/>
        <v>2.441406250000013E-4</v>
      </c>
      <c r="N89" s="5">
        <f t="shared" si="11"/>
        <v>1.220703125000007E-4</v>
      </c>
      <c r="P89" s="4">
        <v>68.074951171874048</v>
      </c>
      <c r="Q89" s="5">
        <v>49.800415039062131</v>
      </c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 x14ac:dyDescent="0.25">
      <c r="A90" s="4">
        <v>1</v>
      </c>
      <c r="B90" s="16">
        <f t="shared" si="12"/>
        <v>0.51000000000000023</v>
      </c>
      <c r="C90" s="16">
        <f t="shared" si="0"/>
        <v>0.26010000000000022</v>
      </c>
      <c r="D90" s="16">
        <f t="shared" si="1"/>
        <v>0.13265100000000019</v>
      </c>
      <c r="E90" s="16">
        <f t="shared" si="2"/>
        <v>6.765201000000011E-2</v>
      </c>
      <c r="F90" s="16">
        <f t="shared" si="3"/>
        <v>3.450252510000007E-2</v>
      </c>
      <c r="G90" s="16">
        <f t="shared" si="4"/>
        <v>1.7596287801000043E-2</v>
      </c>
      <c r="H90" s="16">
        <f t="shared" si="5"/>
        <v>8.9741067785100263E-3</v>
      </c>
      <c r="I90" s="16">
        <f t="shared" si="6"/>
        <v>4.5767944570401144E-3</v>
      </c>
      <c r="J90" s="16">
        <f t="shared" si="7"/>
        <v>2.3341651730904595E-3</v>
      </c>
      <c r="K90" s="16">
        <f t="shared" si="8"/>
        <v>1.1904242382761348E-3</v>
      </c>
      <c r="L90" s="16">
        <f t="shared" si="9"/>
        <v>6.0711636152082911E-4</v>
      </c>
      <c r="M90" s="16">
        <f t="shared" si="10"/>
        <v>3.0962934437562292E-4</v>
      </c>
      <c r="N90" s="5">
        <f t="shared" si="11"/>
        <v>1.5791096563156775E-4</v>
      </c>
      <c r="P90" s="4">
        <v>67.62976672580109</v>
      </c>
      <c r="Q90" s="5">
        <v>50.67887895203306</v>
      </c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 x14ac:dyDescent="0.25">
      <c r="A91" s="4">
        <v>1</v>
      </c>
      <c r="B91" s="16">
        <f t="shared" si="12"/>
        <v>0.52000000000000024</v>
      </c>
      <c r="C91" s="16">
        <f t="shared" si="0"/>
        <v>0.27040000000000025</v>
      </c>
      <c r="D91" s="16">
        <f t="shared" si="1"/>
        <v>0.14060800000000021</v>
      </c>
      <c r="E91" s="16">
        <f t="shared" si="2"/>
        <v>7.3116160000000138E-2</v>
      </c>
      <c r="F91" s="16">
        <f t="shared" si="3"/>
        <v>3.8020403200000087E-2</v>
      </c>
      <c r="G91" s="16">
        <f t="shared" si="4"/>
        <v>1.9770609664000054E-2</v>
      </c>
      <c r="H91" s="16">
        <f t="shared" si="5"/>
        <v>1.0280717025280035E-2</v>
      </c>
      <c r="I91" s="16">
        <f t="shared" si="6"/>
        <v>5.3459728531456202E-3</v>
      </c>
      <c r="J91" s="16">
        <f t="shared" si="7"/>
        <v>2.7799058836357237E-3</v>
      </c>
      <c r="K91" s="16">
        <f t="shared" si="8"/>
        <v>1.445551059490577E-3</v>
      </c>
      <c r="L91" s="16">
        <f t="shared" si="9"/>
        <v>7.5168655093510049E-4</v>
      </c>
      <c r="M91" s="16">
        <f t="shared" si="10"/>
        <v>3.9087700648625243E-4</v>
      </c>
      <c r="N91" s="5">
        <f t="shared" si="11"/>
        <v>2.0325604337285134E-4</v>
      </c>
      <c r="P91" s="4">
        <v>67.193930066413145</v>
      </c>
      <c r="Q91" s="5">
        <v>51.571808573234044</v>
      </c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 x14ac:dyDescent="0.25">
      <c r="A92" s="4">
        <v>1</v>
      </c>
      <c r="B92" s="16">
        <f t="shared" si="12"/>
        <v>0.53000000000000025</v>
      </c>
      <c r="C92" s="16">
        <f t="shared" si="0"/>
        <v>0.28090000000000026</v>
      </c>
      <c r="D92" s="16">
        <f t="shared" si="1"/>
        <v>0.1488770000000002</v>
      </c>
      <c r="E92" s="16">
        <f t="shared" si="2"/>
        <v>7.8904810000000145E-2</v>
      </c>
      <c r="F92" s="16">
        <f t="shared" si="3"/>
        <v>4.1819549300000099E-2</v>
      </c>
      <c r="G92" s="16">
        <f t="shared" si="4"/>
        <v>2.2164361129000061E-2</v>
      </c>
      <c r="H92" s="16">
        <f t="shared" si="5"/>
        <v>1.1747111398370038E-2</v>
      </c>
      <c r="I92" s="16">
        <f t="shared" si="6"/>
        <v>6.2259690411361228E-3</v>
      </c>
      <c r="J92" s="16">
        <f t="shared" si="7"/>
        <v>3.2997635918021466E-3</v>
      </c>
      <c r="K92" s="16">
        <f t="shared" si="8"/>
        <v>1.7488747036551386E-3</v>
      </c>
      <c r="L92" s="16">
        <f t="shared" si="9"/>
        <v>9.2690359293722381E-4</v>
      </c>
      <c r="M92" s="16">
        <f t="shared" si="10"/>
        <v>4.912589042567288E-4</v>
      </c>
      <c r="N92" s="5">
        <f t="shared" si="11"/>
        <v>2.6036721925606644E-4</v>
      </c>
      <c r="P92" s="4">
        <v>66.77667093168148</v>
      </c>
      <c r="Q92" s="5">
        <v>52.483485325197712</v>
      </c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 x14ac:dyDescent="0.25">
      <c r="A93" s="4">
        <v>1</v>
      </c>
      <c r="B93" s="16">
        <f t="shared" si="12"/>
        <v>0.54000000000000026</v>
      </c>
      <c r="C93" s="16">
        <f t="shared" si="0"/>
        <v>0.2916000000000003</v>
      </c>
      <c r="D93" s="16">
        <f t="shared" si="1"/>
        <v>0.15746400000000024</v>
      </c>
      <c r="E93" s="16">
        <f t="shared" si="2"/>
        <v>8.5030560000000172E-2</v>
      </c>
      <c r="F93" s="16">
        <f t="shared" si="3"/>
        <v>4.5916502400000114E-2</v>
      </c>
      <c r="G93" s="16">
        <f t="shared" si="4"/>
        <v>2.4794911296000074E-2</v>
      </c>
      <c r="H93" s="16">
        <f t="shared" si="5"/>
        <v>1.3389252099840048E-2</v>
      </c>
      <c r="I93" s="16">
        <f t="shared" si="6"/>
        <v>7.2301961339136288E-3</v>
      </c>
      <c r="J93" s="16">
        <f t="shared" si="7"/>
        <v>3.9043059123133614E-3</v>
      </c>
      <c r="K93" s="16">
        <f t="shared" si="8"/>
        <v>2.1083251926492163E-3</v>
      </c>
      <c r="L93" s="16">
        <f t="shared" si="9"/>
        <v>1.1384956040305775E-3</v>
      </c>
      <c r="M93" s="16">
        <f t="shared" si="10"/>
        <v>6.1478762617651211E-4</v>
      </c>
      <c r="N93" s="5">
        <f t="shared" si="11"/>
        <v>3.3198531813531667E-4</v>
      </c>
      <c r="P93" s="4">
        <v>66.386182710107462</v>
      </c>
      <c r="Q93" s="5">
        <v>53.418174393789315</v>
      </c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  <row r="94" spans="1:31" x14ac:dyDescent="0.25">
      <c r="A94" s="4">
        <v>1</v>
      </c>
      <c r="B94" s="16">
        <f t="shared" si="12"/>
        <v>0.55000000000000027</v>
      </c>
      <c r="C94" s="16">
        <f t="shared" si="0"/>
        <v>0.30250000000000027</v>
      </c>
      <c r="D94" s="16">
        <f t="shared" si="1"/>
        <v>0.16637500000000022</v>
      </c>
      <c r="E94" s="16">
        <f t="shared" si="2"/>
        <v>9.1506250000000164E-2</v>
      </c>
      <c r="F94" s="16">
        <f t="shared" si="3"/>
        <v>5.0328437500000114E-2</v>
      </c>
      <c r="G94" s="16">
        <f t="shared" si="4"/>
        <v>2.7680640625000075E-2</v>
      </c>
      <c r="H94" s="16">
        <f t="shared" si="5"/>
        <v>1.5224352343750048E-2</v>
      </c>
      <c r="I94" s="16">
        <f t="shared" si="6"/>
        <v>8.3733937890625304E-3</v>
      </c>
      <c r="J94" s="16">
        <f t="shared" si="7"/>
        <v>4.6053665839843943E-3</v>
      </c>
      <c r="K94" s="16">
        <f t="shared" si="8"/>
        <v>2.5329516211914176E-3</v>
      </c>
      <c r="L94" s="16">
        <f t="shared" si="9"/>
        <v>1.3931233916552803E-3</v>
      </c>
      <c r="M94" s="16">
        <f t="shared" si="10"/>
        <v>7.662178654104045E-4</v>
      </c>
      <c r="N94" s="5">
        <f t="shared" si="11"/>
        <v>4.2141982597572269E-4</v>
      </c>
      <c r="P94" s="4">
        <v>66.029459026800325</v>
      </c>
      <c r="Q94" s="5">
        <v>54.380031708409092</v>
      </c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</row>
    <row r="95" spans="1:31" x14ac:dyDescent="0.25">
      <c r="A95" s="4">
        <v>1</v>
      </c>
      <c r="B95" s="16">
        <f t="shared" si="12"/>
        <v>0.56000000000000028</v>
      </c>
      <c r="C95" s="16">
        <f t="shared" si="0"/>
        <v>0.31360000000000032</v>
      </c>
      <c r="D95" s="16">
        <f t="shared" si="1"/>
        <v>0.17561600000000027</v>
      </c>
      <c r="E95" s="16">
        <f t="shared" si="2"/>
        <v>9.8344960000000203E-2</v>
      </c>
      <c r="F95" s="16">
        <f t="shared" si="3"/>
        <v>5.5073177600000141E-2</v>
      </c>
      <c r="G95" s="16">
        <f t="shared" si="4"/>
        <v>3.0840979456000096E-2</v>
      </c>
      <c r="H95" s="16">
        <f t="shared" si="5"/>
        <v>1.7270948495360063E-2</v>
      </c>
      <c r="I95" s="16">
        <f t="shared" si="6"/>
        <v>9.6717311574016397E-3</v>
      </c>
      <c r="J95" s="16">
        <f t="shared" si="7"/>
        <v>5.4161694481449207E-3</v>
      </c>
      <c r="K95" s="16">
        <f t="shared" si="8"/>
        <v>3.0330548909611572E-3</v>
      </c>
      <c r="L95" s="16">
        <f t="shared" si="9"/>
        <v>1.698510738938249E-3</v>
      </c>
      <c r="M95" s="16">
        <f t="shared" si="10"/>
        <v>9.5116601380541995E-4</v>
      </c>
      <c r="N95" s="5">
        <f t="shared" si="11"/>
        <v>5.3265296773103538E-4</v>
      </c>
      <c r="P95" s="4">
        <v>65.712145960417473</v>
      </c>
      <c r="Q95" s="5">
        <v>55.373009134899867</v>
      </c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</row>
    <row r="96" spans="1:31" x14ac:dyDescent="0.25">
      <c r="A96" s="4">
        <v>1</v>
      </c>
      <c r="B96" s="16">
        <f t="shared" si="12"/>
        <v>0.57000000000000028</v>
      </c>
      <c r="C96" s="16">
        <f t="shared" si="0"/>
        <v>0.3249000000000003</v>
      </c>
      <c r="D96" s="16">
        <f t="shared" si="1"/>
        <v>0.18519300000000027</v>
      </c>
      <c r="E96" s="16">
        <f t="shared" si="2"/>
        <v>0.10556001000000019</v>
      </c>
      <c r="F96" s="16">
        <f t="shared" si="3"/>
        <v>6.0169205700000138E-2</v>
      </c>
      <c r="G96" s="16">
        <f t="shared" si="4"/>
        <v>3.4296447249000092E-2</v>
      </c>
      <c r="H96" s="16">
        <f t="shared" si="5"/>
        <v>1.9548974931930065E-2</v>
      </c>
      <c r="I96" s="16">
        <f t="shared" si="6"/>
        <v>1.114291571120014E-2</v>
      </c>
      <c r="J96" s="16">
        <f t="shared" si="7"/>
        <v>6.3514619553840827E-3</v>
      </c>
      <c r="K96" s="16">
        <f t="shared" si="8"/>
        <v>3.6203333145689289E-3</v>
      </c>
      <c r="L96" s="16">
        <f t="shared" si="9"/>
        <v>2.0635899893042906E-3</v>
      </c>
      <c r="M96" s="16">
        <f t="shared" si="10"/>
        <v>1.176246293903446E-3</v>
      </c>
      <c r="N96" s="5">
        <f t="shared" si="11"/>
        <v>6.7046038752496459E-4</v>
      </c>
      <c r="P96" s="4">
        <v>65.43841226087693</v>
      </c>
      <c r="Q96" s="5">
        <v>56.400758537449214</v>
      </c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</row>
    <row r="97" spans="1:31" x14ac:dyDescent="0.25">
      <c r="A97" s="4">
        <v>1</v>
      </c>
      <c r="B97" s="16">
        <f t="shared" si="12"/>
        <v>0.58000000000000029</v>
      </c>
      <c r="C97" s="16">
        <f t="shared" si="0"/>
        <v>0.33640000000000037</v>
      </c>
      <c r="D97" s="16">
        <f t="shared" si="1"/>
        <v>0.19511200000000031</v>
      </c>
      <c r="E97" s="16">
        <f t="shared" si="2"/>
        <v>0.11316496000000024</v>
      </c>
      <c r="F97" s="16">
        <f t="shared" si="3"/>
        <v>6.5635676800000181E-2</v>
      </c>
      <c r="G97" s="16">
        <f t="shared" si="4"/>
        <v>3.8068692544000124E-2</v>
      </c>
      <c r="H97" s="16">
        <f t="shared" si="5"/>
        <v>2.2079841675520084E-2</v>
      </c>
      <c r="I97" s="16">
        <f t="shared" si="6"/>
        <v>1.2806308171801655E-2</v>
      </c>
      <c r="J97" s="16">
        <f t="shared" si="7"/>
        <v>7.4276587396449635E-3</v>
      </c>
      <c r="K97" s="16">
        <f t="shared" si="8"/>
        <v>4.3080420689940811E-3</v>
      </c>
      <c r="L97" s="16">
        <f t="shared" si="9"/>
        <v>2.4986644000165687E-3</v>
      </c>
      <c r="M97" s="16">
        <f t="shared" si="10"/>
        <v>1.4492253520096106E-3</v>
      </c>
      <c r="N97" s="5">
        <f t="shared" si="11"/>
        <v>8.4055070416557461E-4</v>
      </c>
      <c r="P97" s="4">
        <v>65.210839872119763</v>
      </c>
      <c r="Q97" s="5">
        <v>57.466535400738188</v>
      </c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</row>
    <row r="98" spans="1:31" x14ac:dyDescent="0.25">
      <c r="A98" s="4">
        <v>1</v>
      </c>
      <c r="B98" s="16">
        <f t="shared" si="12"/>
        <v>0.5900000000000003</v>
      </c>
      <c r="C98" s="16">
        <f t="shared" si="0"/>
        <v>0.34810000000000035</v>
      </c>
      <c r="D98" s="16">
        <f t="shared" si="1"/>
        <v>0.20537900000000031</v>
      </c>
      <c r="E98" s="16">
        <f t="shared" si="2"/>
        <v>0.12117361000000025</v>
      </c>
      <c r="F98" s="16">
        <f t="shared" si="3"/>
        <v>7.1492429900000182E-2</v>
      </c>
      <c r="G98" s="16">
        <f t="shared" si="4"/>
        <v>4.2180533641000127E-2</v>
      </c>
      <c r="H98" s="16">
        <f t="shared" si="5"/>
        <v>2.488651484819009E-2</v>
      </c>
      <c r="I98" s="16">
        <f t="shared" si="6"/>
        <v>1.4683043760432161E-2</v>
      </c>
      <c r="J98" s="16">
        <f t="shared" si="7"/>
        <v>8.6629958186549803E-3</v>
      </c>
      <c r="K98" s="16">
        <f t="shared" si="8"/>
        <v>5.1111675330064409E-3</v>
      </c>
      <c r="L98" s="16">
        <f t="shared" si="9"/>
        <v>3.0155888444738013E-3</v>
      </c>
      <c r="M98" s="16">
        <f t="shared" si="10"/>
        <v>1.7791974182395438E-3</v>
      </c>
      <c r="N98" s="5">
        <f t="shared" si="11"/>
        <v>1.0497264767613313E-3</v>
      </c>
      <c r="P98" s="4">
        <v>65.030336967962882</v>
      </c>
      <c r="Q98" s="5">
        <v>58.573102745997311</v>
      </c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</row>
    <row r="99" spans="1:31" x14ac:dyDescent="0.25">
      <c r="A99" s="4">
        <v>1</v>
      </c>
      <c r="B99" s="16">
        <f t="shared" si="12"/>
        <v>0.60000000000000031</v>
      </c>
      <c r="C99" s="16">
        <f t="shared" si="0"/>
        <v>0.36000000000000038</v>
      </c>
      <c r="D99" s="16">
        <f t="shared" si="1"/>
        <v>0.21600000000000033</v>
      </c>
      <c r="E99" s="16">
        <f t="shared" si="2"/>
        <v>0.12960000000000027</v>
      </c>
      <c r="F99" s="16">
        <f t="shared" si="3"/>
        <v>7.7760000000000204E-2</v>
      </c>
      <c r="G99" s="16">
        <f t="shared" si="4"/>
        <v>4.6656000000000149E-2</v>
      </c>
      <c r="H99" s="16">
        <f t="shared" si="5"/>
        <v>2.7993600000000101E-2</v>
      </c>
      <c r="I99" s="16">
        <f t="shared" si="6"/>
        <v>1.679616000000007E-2</v>
      </c>
      <c r="J99" s="16">
        <f t="shared" si="7"/>
        <v>1.0077696000000047E-2</v>
      </c>
      <c r="K99" s="16">
        <f t="shared" si="8"/>
        <v>6.0466176000000312E-3</v>
      </c>
      <c r="L99" s="16">
        <f t="shared" si="9"/>
        <v>3.6279705600000206E-3</v>
      </c>
      <c r="M99" s="16">
        <f t="shared" si="10"/>
        <v>2.1767823360000138E-3</v>
      </c>
      <c r="N99" s="5">
        <f t="shared" si="11"/>
        <v>1.3060694016000089E-3</v>
      </c>
      <c r="P99" s="4">
        <v>64.896075579387968</v>
      </c>
      <c r="Q99" s="5">
        <v>59.722636124160431</v>
      </c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</row>
    <row r="100" spans="1:31" x14ac:dyDescent="0.25">
      <c r="A100" s="4">
        <v>1</v>
      </c>
      <c r="B100" s="16">
        <f t="shared" si="12"/>
        <v>0.61000000000000032</v>
      </c>
      <c r="C100" s="16">
        <f t="shared" si="0"/>
        <v>0.37210000000000037</v>
      </c>
      <c r="D100" s="16">
        <f t="shared" si="1"/>
        <v>0.22698100000000035</v>
      </c>
      <c r="E100" s="16">
        <f t="shared" si="2"/>
        <v>0.13845841000000028</v>
      </c>
      <c r="F100" s="16">
        <f t="shared" si="3"/>
        <v>8.445963010000021E-2</v>
      </c>
      <c r="G100" s="16">
        <f t="shared" si="4"/>
        <v>5.1520374361000154E-2</v>
      </c>
      <c r="H100" s="16">
        <f t="shared" si="5"/>
        <v>3.1427428360210112E-2</v>
      </c>
      <c r="I100" s="16">
        <f t="shared" si="6"/>
        <v>1.917073129972818E-2</v>
      </c>
      <c r="J100" s="16">
        <f t="shared" si="7"/>
        <v>1.1694146092834196E-2</v>
      </c>
      <c r="K100" s="16">
        <f t="shared" si="8"/>
        <v>7.133429116628863E-3</v>
      </c>
      <c r="L100" s="16">
        <f t="shared" si="9"/>
        <v>4.3513917611436087E-3</v>
      </c>
      <c r="M100" s="16">
        <f t="shared" si="10"/>
        <v>2.6543489742976026E-3</v>
      </c>
      <c r="N100" s="5">
        <f t="shared" si="11"/>
        <v>1.6191528743215384E-3</v>
      </c>
      <c r="P100" s="4">
        <v>64.805455728007274</v>
      </c>
      <c r="Q100" s="5">
        <v>60.916630525746427</v>
      </c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</row>
    <row r="101" spans="1:31" x14ac:dyDescent="0.25">
      <c r="A101" s="4">
        <v>1</v>
      </c>
      <c r="B101" s="16">
        <f t="shared" si="12"/>
        <v>0.62000000000000033</v>
      </c>
      <c r="C101" s="16">
        <f t="shared" si="0"/>
        <v>0.38440000000000041</v>
      </c>
      <c r="D101" s="16">
        <f t="shared" si="1"/>
        <v>0.23832800000000037</v>
      </c>
      <c r="E101" s="16">
        <f t="shared" si="2"/>
        <v>0.14776336000000032</v>
      </c>
      <c r="F101" s="16">
        <f t="shared" si="3"/>
        <v>9.1613283200000242E-2</v>
      </c>
      <c r="G101" s="16">
        <f t="shared" si="4"/>
        <v>5.6800235584000179E-2</v>
      </c>
      <c r="H101" s="16">
        <f t="shared" si="5"/>
        <v>3.5216146062080129E-2</v>
      </c>
      <c r="I101" s="16">
        <f t="shared" si="6"/>
        <v>2.1834010558489693E-2</v>
      </c>
      <c r="J101" s="16">
        <f t="shared" si="7"/>
        <v>1.3537086546263616E-2</v>
      </c>
      <c r="K101" s="16">
        <f t="shared" si="8"/>
        <v>8.3929936586834477E-3</v>
      </c>
      <c r="L101" s="16">
        <f t="shared" si="9"/>
        <v>5.2036560683837397E-3</v>
      </c>
      <c r="M101" s="16">
        <f t="shared" si="10"/>
        <v>3.2262667623979206E-3</v>
      </c>
      <c r="N101" s="5">
        <f t="shared" si="11"/>
        <v>2.0002853926867118E-3</v>
      </c>
      <c r="P101" s="4">
        <v>64.754097780511231</v>
      </c>
      <c r="Q101" s="5">
        <v>62.155810109948739</v>
      </c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</row>
    <row r="102" spans="1:31" x14ac:dyDescent="0.25">
      <c r="A102" s="4">
        <v>1</v>
      </c>
      <c r="B102" s="16">
        <f t="shared" si="12"/>
        <v>0.63000000000000034</v>
      </c>
      <c r="C102" s="16">
        <f t="shared" si="0"/>
        <v>0.39690000000000042</v>
      </c>
      <c r="D102" s="16">
        <f t="shared" si="1"/>
        <v>0.25004700000000041</v>
      </c>
      <c r="E102" s="16">
        <f t="shared" si="2"/>
        <v>0.15752961000000032</v>
      </c>
      <c r="F102" s="16">
        <f t="shared" si="3"/>
        <v>9.9243654300000261E-2</v>
      </c>
      <c r="G102" s="16">
        <f t="shared" si="4"/>
        <v>6.2523502209000187E-2</v>
      </c>
      <c r="H102" s="16">
        <f t="shared" si="5"/>
        <v>3.9389806391670147E-2</v>
      </c>
      <c r="I102" s="16">
        <f t="shared" si="6"/>
        <v>2.4815578026752199E-2</v>
      </c>
      <c r="J102" s="16">
        <f t="shared" si="7"/>
        <v>1.5633814156853894E-2</v>
      </c>
      <c r="K102" s="16">
        <f t="shared" si="8"/>
        <v>9.8493029188179582E-3</v>
      </c>
      <c r="L102" s="16">
        <f t="shared" si="9"/>
        <v>6.2050608388553169E-3</v>
      </c>
      <c r="M102" s="16">
        <f t="shared" si="10"/>
        <v>3.9091883284788518E-3</v>
      </c>
      <c r="N102" s="5">
        <f t="shared" si="11"/>
        <v>2.4627886469416778E-3</v>
      </c>
      <c r="P102" s="4">
        <v>64.735864502421236</v>
      </c>
      <c r="Q102" s="5">
        <v>63.440041723896371</v>
      </c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</row>
    <row r="103" spans="1:31" x14ac:dyDescent="0.25">
      <c r="A103" s="4">
        <v>1</v>
      </c>
      <c r="B103" s="16">
        <f t="shared" si="12"/>
        <v>0.64000000000000035</v>
      </c>
      <c r="C103" s="16">
        <f t="shared" si="0"/>
        <v>0.40960000000000046</v>
      </c>
      <c r="D103" s="16">
        <f t="shared" si="1"/>
        <v>0.26214400000000043</v>
      </c>
      <c r="E103" s="16">
        <f t="shared" si="2"/>
        <v>0.16777216000000039</v>
      </c>
      <c r="F103" s="16">
        <f t="shared" si="3"/>
        <v>0.10737418240000031</v>
      </c>
      <c r="G103" s="16">
        <f t="shared" si="4"/>
        <v>6.8719476736000235E-2</v>
      </c>
      <c r="H103" s="16">
        <f t="shared" si="5"/>
        <v>4.3980465111040173E-2</v>
      </c>
      <c r="I103" s="16">
        <f t="shared" si="6"/>
        <v>2.8147497671065731E-2</v>
      </c>
      <c r="J103" s="16">
        <f t="shared" si="7"/>
        <v>1.8014398509482079E-2</v>
      </c>
      <c r="K103" s="16">
        <f t="shared" si="8"/>
        <v>1.1529215046068537E-2</v>
      </c>
      <c r="L103" s="16">
        <f t="shared" si="9"/>
        <v>7.378697629483867E-3</v>
      </c>
      <c r="M103" s="16">
        <f t="shared" si="10"/>
        <v>4.7223664828696787E-3</v>
      </c>
      <c r="N103" s="5">
        <f t="shared" si="11"/>
        <v>3.0223145490365956E-3</v>
      </c>
      <c r="P103" s="4">
        <v>64.742914014695316</v>
      </c>
      <c r="Q103" s="5">
        <v>64.768253256524503</v>
      </c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</row>
    <row r="104" spans="1:31" x14ac:dyDescent="0.25">
      <c r="A104" s="4">
        <v>1</v>
      </c>
      <c r="B104" s="16">
        <f t="shared" si="12"/>
        <v>0.65000000000000036</v>
      </c>
      <c r="C104" s="16">
        <f t="shared" si="0"/>
        <v>0.42250000000000049</v>
      </c>
      <c r="D104" s="16">
        <f t="shared" si="1"/>
        <v>0.27462500000000045</v>
      </c>
      <c r="E104" s="16">
        <f t="shared" si="2"/>
        <v>0.17850625000000042</v>
      </c>
      <c r="F104" s="16">
        <f t="shared" si="3"/>
        <v>0.11602906250000034</v>
      </c>
      <c r="G104" s="16">
        <f t="shared" si="4"/>
        <v>7.5418890625000262E-2</v>
      </c>
      <c r="H104" s="16">
        <f t="shared" si="5"/>
        <v>4.9022278906250195E-2</v>
      </c>
      <c r="I104" s="16">
        <f t="shared" si="6"/>
        <v>3.1864481289062649E-2</v>
      </c>
      <c r="J104" s="16">
        <f t="shared" si="7"/>
        <v>2.0711912837890731E-2</v>
      </c>
      <c r="K104" s="16">
        <f t="shared" si="8"/>
        <v>1.3462743344628984E-2</v>
      </c>
      <c r="L104" s="16">
        <f t="shared" si="9"/>
        <v>8.7507831740088436E-3</v>
      </c>
      <c r="M104" s="16">
        <f t="shared" si="10"/>
        <v>5.6880090631057532E-3</v>
      </c>
      <c r="N104" s="5">
        <f t="shared" si="11"/>
        <v>3.6972058910187413E-3</v>
      </c>
      <c r="P104" s="4">
        <v>64.765784545193242</v>
      </c>
      <c r="Q104" s="5">
        <v>66.138357948401435</v>
      </c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</row>
    <row r="105" spans="1:31" x14ac:dyDescent="0.25">
      <c r="A105" s="4">
        <v>1</v>
      </c>
      <c r="B105" s="16">
        <f t="shared" si="12"/>
        <v>0.66000000000000036</v>
      </c>
      <c r="C105" s="16">
        <f t="shared" ref="C105:C139" si="13">B105^2</f>
        <v>0.43560000000000049</v>
      </c>
      <c r="D105" s="16">
        <f t="shared" ref="D105:D139" si="14">B105^3</f>
        <v>0.28749600000000047</v>
      </c>
      <c r="E105" s="16">
        <f t="shared" ref="E105:E139" si="15">$B105^4</f>
        <v>0.18974736000000042</v>
      </c>
      <c r="F105" s="16">
        <f t="shared" ref="F105:F139" si="16">$B105^5</f>
        <v>0.12523325760000034</v>
      </c>
      <c r="G105" s="16">
        <f t="shared" ref="G105:G139" si="17">$B105^6</f>
        <v>8.2653950016000274E-2</v>
      </c>
      <c r="H105" s="16">
        <f t="shared" ref="H105:H139" si="18">$B105^7</f>
        <v>5.4551607010560207E-2</v>
      </c>
      <c r="I105" s="16">
        <f t="shared" ref="I105:I139" si="19">$B105^8</f>
        <v>3.6004060626969758E-2</v>
      </c>
      <c r="J105" s="16">
        <f t="shared" ref="J105:J139" si="20">$B105^9</f>
        <v>2.3762680013800053E-2</v>
      </c>
      <c r="K105" s="16">
        <f t="shared" ref="K105:K139" si="21">$B105^10</f>
        <v>1.5683368809108044E-2</v>
      </c>
      <c r="L105" s="16">
        <f t="shared" ref="L105:L139" si="22">$B105^11</f>
        <v>1.0351023414011314E-2</v>
      </c>
      <c r="M105" s="16">
        <f t="shared" ref="M105:M139" si="23">$B105^12</f>
        <v>6.8316754532474714E-3</v>
      </c>
      <c r="N105" s="5">
        <f t="shared" ref="N105:N139" si="24">$B105^13</f>
        <v>4.5089057991433337E-3</v>
      </c>
      <c r="P105" s="4">
        <v>64.793511515789305</v>
      </c>
      <c r="Q105" s="5">
        <v>67.547185858722386</v>
      </c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</row>
    <row r="106" spans="1:31" x14ac:dyDescent="0.25">
      <c r="A106" s="4">
        <v>1</v>
      </c>
      <c r="B106" s="16">
        <f t="shared" ref="B106:B139" si="25">B105+0.01</f>
        <v>0.67000000000000037</v>
      </c>
      <c r="C106" s="16">
        <f t="shared" si="13"/>
        <v>0.44890000000000052</v>
      </c>
      <c r="D106" s="16">
        <f t="shared" si="14"/>
        <v>0.3007630000000005</v>
      </c>
      <c r="E106" s="16">
        <f t="shared" si="15"/>
        <v>0.20151121000000047</v>
      </c>
      <c r="F106" s="16">
        <f t="shared" si="16"/>
        <v>0.13501251070000039</v>
      </c>
      <c r="G106" s="16">
        <f t="shared" si="17"/>
        <v>9.0458382169000318E-2</v>
      </c>
      <c r="H106" s="16">
        <f t="shared" si="18"/>
        <v>6.0607116053230242E-2</v>
      </c>
      <c r="I106" s="16">
        <f t="shared" si="19"/>
        <v>4.060676775566429E-2</v>
      </c>
      <c r="J106" s="16">
        <f t="shared" si="20"/>
        <v>2.7206534396295088E-2</v>
      </c>
      <c r="K106" s="16">
        <f t="shared" si="21"/>
        <v>1.8228378045517721E-2</v>
      </c>
      <c r="L106" s="16">
        <f t="shared" si="22"/>
        <v>1.221301329049688E-2</v>
      </c>
      <c r="M106" s="16">
        <f t="shared" si="23"/>
        <v>8.182718904632914E-3</v>
      </c>
      <c r="N106" s="5">
        <f t="shared" si="24"/>
        <v>5.4824216661040559E-3</v>
      </c>
      <c r="P106" s="4">
        <v>64.813777119191798</v>
      </c>
      <c r="Q106" s="5">
        <v>68.99042377076178</v>
      </c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</row>
    <row r="107" spans="1:31" x14ac:dyDescent="0.25">
      <c r="A107" s="4">
        <v>1</v>
      </c>
      <c r="B107" s="16">
        <f t="shared" si="25"/>
        <v>0.68000000000000038</v>
      </c>
      <c r="C107" s="16">
        <f t="shared" si="13"/>
        <v>0.46240000000000053</v>
      </c>
      <c r="D107" s="16">
        <f t="shared" si="14"/>
        <v>0.31443200000000054</v>
      </c>
      <c r="E107" s="16">
        <f t="shared" si="15"/>
        <v>0.21381376000000049</v>
      </c>
      <c r="F107" s="16">
        <f t="shared" si="16"/>
        <v>0.14539335680000043</v>
      </c>
      <c r="G107" s="16">
        <f t="shared" si="17"/>
        <v>9.8867482624000344E-2</v>
      </c>
      <c r="H107" s="16">
        <f t="shared" si="18"/>
        <v>6.7229888184320269E-2</v>
      </c>
      <c r="I107" s="16">
        <f t="shared" si="19"/>
        <v>4.5716323965337813E-2</v>
      </c>
      <c r="J107" s="16">
        <f t="shared" si="20"/>
        <v>3.1087100296429731E-2</v>
      </c>
      <c r="K107" s="16">
        <f t="shared" si="21"/>
        <v>2.1139228201572231E-2</v>
      </c>
      <c r="L107" s="16">
        <f t="shared" si="22"/>
        <v>1.4374675177069123E-2</v>
      </c>
      <c r="M107" s="16">
        <f t="shared" si="23"/>
        <v>9.7747791204070098E-3</v>
      </c>
      <c r="N107" s="5">
        <f t="shared" si="24"/>
        <v>6.6468498018767714E-3</v>
      </c>
      <c r="P107" s="4">
        <v>64.813092115462155</v>
      </c>
      <c r="Q107" s="5">
        <v>70.462564897066102</v>
      </c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</row>
    <row r="108" spans="1:31" x14ac:dyDescent="0.25">
      <c r="A108" s="4">
        <v>1</v>
      </c>
      <c r="B108" s="16">
        <f t="shared" si="25"/>
        <v>0.69000000000000039</v>
      </c>
      <c r="C108" s="16">
        <f t="shared" si="13"/>
        <v>0.47610000000000052</v>
      </c>
      <c r="D108" s="16">
        <f t="shared" si="14"/>
        <v>0.32850900000000055</v>
      </c>
      <c r="E108" s="16">
        <f t="shared" si="15"/>
        <v>0.22667121000000051</v>
      </c>
      <c r="F108" s="16">
        <f t="shared" si="16"/>
        <v>0.15640313490000043</v>
      </c>
      <c r="G108" s="16">
        <f t="shared" si="17"/>
        <v>0.10791816308100036</v>
      </c>
      <c r="H108" s="16">
        <f t="shared" si="18"/>
        <v>7.4463532525890289E-2</v>
      </c>
      <c r="I108" s="16">
        <f t="shared" si="19"/>
        <v>5.1379837442864333E-2</v>
      </c>
      <c r="J108" s="16">
        <f t="shared" si="20"/>
        <v>3.5452087835576407E-2</v>
      </c>
      <c r="K108" s="16">
        <f t="shared" si="21"/>
        <v>2.4461940606547737E-2</v>
      </c>
      <c r="L108" s="16">
        <f t="shared" si="22"/>
        <v>1.6878739018517948E-2</v>
      </c>
      <c r="M108" s="16">
        <f t="shared" si="23"/>
        <v>1.1646329922777391E-2</v>
      </c>
      <c r="N108" s="5">
        <f t="shared" si="24"/>
        <v>8.0359676467164042E-3</v>
      </c>
      <c r="P108" s="4">
        <v>64.777009119488866</v>
      </c>
      <c r="Q108" s="5">
        <v>71.956869822229606</v>
      </c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</row>
    <row r="109" spans="1:31" x14ac:dyDescent="0.25">
      <c r="A109" s="4">
        <v>1</v>
      </c>
      <c r="B109" s="16">
        <f t="shared" si="25"/>
        <v>0.7000000000000004</v>
      </c>
      <c r="C109" s="16">
        <f t="shared" si="13"/>
        <v>0.49000000000000055</v>
      </c>
      <c r="D109" s="16">
        <f t="shared" si="14"/>
        <v>0.34300000000000058</v>
      </c>
      <c r="E109" s="16">
        <f t="shared" si="15"/>
        <v>0.24010000000000054</v>
      </c>
      <c r="F109" s="16">
        <f t="shared" si="16"/>
        <v>0.16807000000000047</v>
      </c>
      <c r="G109" s="16">
        <f t="shared" si="17"/>
        <v>0.11764900000000039</v>
      </c>
      <c r="H109" s="16">
        <f t="shared" si="18"/>
        <v>8.2354300000000324E-2</v>
      </c>
      <c r="I109" s="16">
        <f t="shared" si="19"/>
        <v>5.7648010000000256E-2</v>
      </c>
      <c r="J109" s="16">
        <f t="shared" si="20"/>
        <v>4.0353607000000201E-2</v>
      </c>
      <c r="K109" s="16">
        <f t="shared" si="21"/>
        <v>2.8247524900000157E-2</v>
      </c>
      <c r="L109" s="16">
        <f t="shared" si="22"/>
        <v>1.9773267430000123E-2</v>
      </c>
      <c r="M109" s="16">
        <f t="shared" si="23"/>
        <v>1.3841287201000092E-2</v>
      </c>
      <c r="N109" s="5">
        <f t="shared" si="24"/>
        <v>9.6889010407000698E-3</v>
      </c>
      <c r="P109" s="4">
        <v>64.690366160537337</v>
      </c>
      <c r="Q109" s="5">
        <v>73.465340192977408</v>
      </c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</row>
    <row r="110" spans="1:31" x14ac:dyDescent="0.25">
      <c r="A110" s="4">
        <v>1</v>
      </c>
      <c r="B110" s="16">
        <f t="shared" si="25"/>
        <v>0.71000000000000041</v>
      </c>
      <c r="C110" s="16">
        <f t="shared" si="13"/>
        <v>0.50410000000000055</v>
      </c>
      <c r="D110" s="16">
        <f t="shared" si="14"/>
        <v>0.35791100000000059</v>
      </c>
      <c r="E110" s="16">
        <f t="shared" si="15"/>
        <v>0.25411681000000053</v>
      </c>
      <c r="F110" s="16">
        <f t="shared" si="16"/>
        <v>0.18042293510000049</v>
      </c>
      <c r="G110" s="16">
        <f t="shared" si="17"/>
        <v>0.1281002839210004</v>
      </c>
      <c r="H110" s="16">
        <f t="shared" si="18"/>
        <v>9.0951201583910332E-2</v>
      </c>
      <c r="I110" s="16">
        <f t="shared" si="19"/>
        <v>6.4575353124576365E-2</v>
      </c>
      <c r="J110" s="16">
        <f t="shared" si="20"/>
        <v>4.5848500718449245E-2</v>
      </c>
      <c r="K110" s="16">
        <f t="shared" si="21"/>
        <v>3.2552435510098982E-2</v>
      </c>
      <c r="L110" s="16">
        <f t="shared" si="22"/>
        <v>2.311222921217029E-2</v>
      </c>
      <c r="M110" s="16">
        <f t="shared" si="23"/>
        <v>1.6409682740640912E-2</v>
      </c>
      <c r="N110" s="5">
        <f t="shared" si="24"/>
        <v>1.1650874745855055E-2</v>
      </c>
      <c r="P110" s="4">
        <v>64.53755877416711</v>
      </c>
      <c r="Q110" s="5">
        <v>74.978706729488891</v>
      </c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11" spans="1:31" x14ac:dyDescent="0.25">
      <c r="A111" s="4">
        <v>1</v>
      </c>
      <c r="B111" s="16">
        <f t="shared" si="25"/>
        <v>0.72000000000000042</v>
      </c>
      <c r="C111" s="16">
        <f t="shared" si="13"/>
        <v>0.51840000000000064</v>
      </c>
      <c r="D111" s="16">
        <f t="shared" si="14"/>
        <v>0.37324800000000069</v>
      </c>
      <c r="E111" s="16">
        <f t="shared" si="15"/>
        <v>0.26873856000000068</v>
      </c>
      <c r="F111" s="16">
        <f t="shared" si="16"/>
        <v>0.19349176320000061</v>
      </c>
      <c r="G111" s="16">
        <f t="shared" si="17"/>
        <v>0.13931406950400052</v>
      </c>
      <c r="H111" s="16">
        <f t="shared" si="18"/>
        <v>0.10030613004288044</v>
      </c>
      <c r="I111" s="16">
        <f t="shared" si="19"/>
        <v>7.2220413630873961E-2</v>
      </c>
      <c r="J111" s="16">
        <f t="shared" si="20"/>
        <v>5.1998697814229285E-2</v>
      </c>
      <c r="K111" s="16">
        <f t="shared" si="21"/>
        <v>3.7439062426245111E-2</v>
      </c>
      <c r="L111" s="16">
        <f t="shared" si="22"/>
        <v>2.6956124946896493E-2</v>
      </c>
      <c r="M111" s="16">
        <f t="shared" si="23"/>
        <v>1.9408409961765488E-2</v>
      </c>
      <c r="N111" s="5">
        <f t="shared" si="24"/>
        <v>1.3974055172471161E-2</v>
      </c>
      <c r="P111" s="4">
        <v>64.302838341223946</v>
      </c>
      <c r="Q111" s="5">
        <v>76.48643318577399</v>
      </c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</row>
    <row r="112" spans="1:31" x14ac:dyDescent="0.25">
      <c r="A112" s="4">
        <v>1</v>
      </c>
      <c r="B112" s="16">
        <f t="shared" si="25"/>
        <v>0.73000000000000043</v>
      </c>
      <c r="C112" s="16">
        <f t="shared" si="13"/>
        <v>0.5329000000000006</v>
      </c>
      <c r="D112" s="16">
        <f t="shared" si="14"/>
        <v>0.38901700000000067</v>
      </c>
      <c r="E112" s="16">
        <f t="shared" si="15"/>
        <v>0.28398241000000063</v>
      </c>
      <c r="F112" s="16">
        <f t="shared" si="16"/>
        <v>0.20730715930000057</v>
      </c>
      <c r="G112" s="16">
        <f t="shared" si="17"/>
        <v>0.15133422628900051</v>
      </c>
      <c r="H112" s="16">
        <f t="shared" si="18"/>
        <v>0.11047398519097043</v>
      </c>
      <c r="I112" s="16">
        <f t="shared" si="19"/>
        <v>8.0646009189408452E-2</v>
      </c>
      <c r="J112" s="16">
        <f t="shared" si="20"/>
        <v>5.8871586708268205E-2</v>
      </c>
      <c r="K112" s="16">
        <f t="shared" si="21"/>
        <v>4.2976258297035809E-2</v>
      </c>
      <c r="L112" s="16">
        <f t="shared" si="22"/>
        <v>3.137266855683616E-2</v>
      </c>
      <c r="M112" s="16">
        <f t="shared" si="23"/>
        <v>2.290204804649041E-2</v>
      </c>
      <c r="N112" s="5">
        <f t="shared" si="24"/>
        <v>1.6718495073938008E-2</v>
      </c>
      <c r="P112" s="4">
        <v>63.970633821938463</v>
      </c>
      <c r="Q112" s="5">
        <v>77.976737927616654</v>
      </c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</row>
    <row r="113" spans="1:31" x14ac:dyDescent="0.25">
      <c r="A113" s="4">
        <v>1</v>
      </c>
      <c r="B113" s="16">
        <f t="shared" si="25"/>
        <v>0.74000000000000044</v>
      </c>
      <c r="C113" s="16">
        <f t="shared" si="13"/>
        <v>0.54760000000000064</v>
      </c>
      <c r="D113" s="16">
        <f t="shared" si="14"/>
        <v>0.40522400000000069</v>
      </c>
      <c r="E113" s="16">
        <f t="shared" si="15"/>
        <v>0.2998657600000007</v>
      </c>
      <c r="F113" s="16">
        <f t="shared" si="16"/>
        <v>0.22190066240000064</v>
      </c>
      <c r="G113" s="16">
        <f t="shared" si="17"/>
        <v>0.16420649017600059</v>
      </c>
      <c r="H113" s="16">
        <f t="shared" si="18"/>
        <v>0.1215128027302405</v>
      </c>
      <c r="I113" s="16">
        <f t="shared" si="19"/>
        <v>8.9919474020378018E-2</v>
      </c>
      <c r="J113" s="16">
        <f t="shared" si="20"/>
        <v>6.6540410775079772E-2</v>
      </c>
      <c r="K113" s="16">
        <f t="shared" si="21"/>
        <v>4.9239903973559061E-2</v>
      </c>
      <c r="L113" s="16">
        <f t="shared" si="22"/>
        <v>3.6437528940433728E-2</v>
      </c>
      <c r="M113" s="16">
        <f t="shared" si="23"/>
        <v>2.6963771415920972E-2</v>
      </c>
      <c r="N113" s="5">
        <f t="shared" si="24"/>
        <v>1.9953190847781532E-2</v>
      </c>
      <c r="P113" s="4">
        <v>63.525893449015143</v>
      </c>
      <c r="Q113" s="5">
        <v>79.436634820702295</v>
      </c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</row>
    <row r="114" spans="1:31" x14ac:dyDescent="0.25">
      <c r="A114" s="4">
        <v>1</v>
      </c>
      <c r="B114" s="16">
        <f t="shared" si="25"/>
        <v>0.75000000000000044</v>
      </c>
      <c r="C114" s="16">
        <f t="shared" si="13"/>
        <v>0.56250000000000067</v>
      </c>
      <c r="D114" s="16">
        <f t="shared" si="14"/>
        <v>0.42187500000000078</v>
      </c>
      <c r="E114" s="16">
        <f t="shared" si="15"/>
        <v>0.31640625000000078</v>
      </c>
      <c r="F114" s="16">
        <f t="shared" si="16"/>
        <v>0.23730468750000072</v>
      </c>
      <c r="G114" s="16">
        <f t="shared" si="17"/>
        <v>0.17797851562500064</v>
      </c>
      <c r="H114" s="16">
        <f t="shared" si="18"/>
        <v>0.13348388671875058</v>
      </c>
      <c r="I114" s="16">
        <f t="shared" si="19"/>
        <v>0.10011291503906299</v>
      </c>
      <c r="J114" s="16">
        <f t="shared" si="20"/>
        <v>7.5084686279297277E-2</v>
      </c>
      <c r="K114" s="16">
        <f t="shared" si="21"/>
        <v>5.6313514709472996E-2</v>
      </c>
      <c r="L114" s="16">
        <f t="shared" si="22"/>
        <v>4.2235136032104777E-2</v>
      </c>
      <c r="M114" s="16">
        <f t="shared" si="23"/>
        <v>3.1676352024078598E-2</v>
      </c>
      <c r="N114" s="5">
        <f t="shared" si="24"/>
        <v>2.3757264018058964E-2</v>
      </c>
      <c r="P114" s="4">
        <v>62.954442352075375</v>
      </c>
      <c r="Q114" s="5">
        <v>80.851995125406518</v>
      </c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</row>
    <row r="115" spans="1:31" x14ac:dyDescent="0.25">
      <c r="A115" s="4">
        <v>1</v>
      </c>
      <c r="B115" s="16">
        <f t="shared" si="25"/>
        <v>0.76000000000000045</v>
      </c>
      <c r="C115" s="16">
        <f t="shared" si="13"/>
        <v>0.57760000000000067</v>
      </c>
      <c r="D115" s="16">
        <f t="shared" si="14"/>
        <v>0.43897600000000075</v>
      </c>
      <c r="E115" s="16">
        <f t="shared" si="15"/>
        <v>0.33362176000000077</v>
      </c>
      <c r="F115" s="16">
        <f t="shared" si="16"/>
        <v>0.25355253760000074</v>
      </c>
      <c r="G115" s="16">
        <f t="shared" si="17"/>
        <v>0.19269992857600066</v>
      </c>
      <c r="H115" s="16">
        <f t="shared" si="18"/>
        <v>0.1464519457177606</v>
      </c>
      <c r="I115" s="16">
        <f t="shared" si="19"/>
        <v>0.11130347874549811</v>
      </c>
      <c r="J115" s="16">
        <f t="shared" si="20"/>
        <v>8.4590643846578606E-2</v>
      </c>
      <c r="K115" s="16">
        <f t="shared" si="21"/>
        <v>6.4288889323399781E-2</v>
      </c>
      <c r="L115" s="16">
        <f t="shared" si="22"/>
        <v>4.8859555885783862E-2</v>
      </c>
      <c r="M115" s="16">
        <f t="shared" si="23"/>
        <v>3.7133262473195754E-2</v>
      </c>
      <c r="N115" s="5">
        <f t="shared" si="24"/>
        <v>2.822127947962879E-2</v>
      </c>
      <c r="P115" s="4">
        <v>62.243351489256611</v>
      </c>
      <c r="Q115" s="5">
        <v>82.207632074922969</v>
      </c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</row>
    <row r="116" spans="1:31" x14ac:dyDescent="0.25">
      <c r="A116" s="4">
        <v>1</v>
      </c>
      <c r="B116" s="16">
        <f t="shared" si="25"/>
        <v>0.77000000000000046</v>
      </c>
      <c r="C116" s="16">
        <f t="shared" si="13"/>
        <v>0.59290000000000076</v>
      </c>
      <c r="D116" s="16">
        <f t="shared" si="14"/>
        <v>0.45653300000000085</v>
      </c>
      <c r="E116" s="16">
        <f t="shared" si="15"/>
        <v>0.3515304100000009</v>
      </c>
      <c r="F116" s="16">
        <f t="shared" si="16"/>
        <v>0.27067841570000084</v>
      </c>
      <c r="G116" s="16">
        <f t="shared" si="17"/>
        <v>0.2084223800890008</v>
      </c>
      <c r="H116" s="16">
        <f t="shared" si="18"/>
        <v>0.16048523266853071</v>
      </c>
      <c r="I116" s="16">
        <f t="shared" si="19"/>
        <v>0.12357362915476873</v>
      </c>
      <c r="J116" s="16">
        <f t="shared" si="20"/>
        <v>9.5151694449171972E-2</v>
      </c>
      <c r="K116" s="16">
        <f t="shared" si="21"/>
        <v>7.3266804725862472E-2</v>
      </c>
      <c r="L116" s="16">
        <f t="shared" si="22"/>
        <v>5.6415439638914142E-2</v>
      </c>
      <c r="M116" s="16">
        <f t="shared" si="23"/>
        <v>4.3439888521963919E-2</v>
      </c>
      <c r="N116" s="5">
        <f t="shared" si="24"/>
        <v>3.3448714161912231E-2</v>
      </c>
      <c r="P116" s="4">
        <v>61.3813126743471</v>
      </c>
      <c r="Q116" s="5">
        <v>83.487409764938974</v>
      </c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</row>
    <row r="117" spans="1:31" x14ac:dyDescent="0.25">
      <c r="A117" s="4">
        <v>1</v>
      </c>
      <c r="B117" s="16">
        <f t="shared" si="25"/>
        <v>0.78000000000000047</v>
      </c>
      <c r="C117" s="16">
        <f t="shared" si="13"/>
        <v>0.60840000000000072</v>
      </c>
      <c r="D117" s="16">
        <f t="shared" si="14"/>
        <v>0.47455200000000086</v>
      </c>
      <c r="E117" s="16">
        <f t="shared" si="15"/>
        <v>0.37015056000000085</v>
      </c>
      <c r="F117" s="16">
        <f t="shared" si="16"/>
        <v>0.28871743680000084</v>
      </c>
      <c r="G117" s="16">
        <f t="shared" si="17"/>
        <v>0.22519960070400077</v>
      </c>
      <c r="H117" s="16">
        <f t="shared" si="18"/>
        <v>0.17565568854912073</v>
      </c>
      <c r="I117" s="16">
        <f t="shared" si="19"/>
        <v>0.13701143706831423</v>
      </c>
      <c r="J117" s="16">
        <f t="shared" si="20"/>
        <v>0.10686892091328516</v>
      </c>
      <c r="K117" s="16">
        <f t="shared" si="21"/>
        <v>8.3357758312362473E-2</v>
      </c>
      <c r="L117" s="16">
        <f t="shared" si="22"/>
        <v>6.5019051483642773E-2</v>
      </c>
      <c r="M117" s="16">
        <f t="shared" si="23"/>
        <v>5.0714860157241387E-2</v>
      </c>
      <c r="N117" s="5">
        <f t="shared" si="24"/>
        <v>3.9557590922648309E-2</v>
      </c>
      <c r="P117" s="4">
        <v>60.359013911466491</v>
      </c>
      <c r="Q117" s="5">
        <v>84.674377902896822</v>
      </c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</row>
    <row r="118" spans="1:31" x14ac:dyDescent="0.25">
      <c r="A118" s="4">
        <v>1</v>
      </c>
      <c r="B118" s="16">
        <f t="shared" si="25"/>
        <v>0.79000000000000048</v>
      </c>
      <c r="C118" s="16">
        <f t="shared" si="13"/>
        <v>0.62410000000000077</v>
      </c>
      <c r="D118" s="16">
        <f t="shared" si="14"/>
        <v>0.49303900000000089</v>
      </c>
      <c r="E118" s="16">
        <f t="shared" si="15"/>
        <v>0.38950081000000097</v>
      </c>
      <c r="F118" s="16">
        <f t="shared" si="16"/>
        <v>0.30770563990000094</v>
      </c>
      <c r="G118" s="16">
        <f t="shared" si="17"/>
        <v>0.24308745552100092</v>
      </c>
      <c r="H118" s="16">
        <f t="shared" si="18"/>
        <v>0.19203908986159082</v>
      </c>
      <c r="I118" s="16">
        <f t="shared" si="19"/>
        <v>0.15171088099065685</v>
      </c>
      <c r="J118" s="16">
        <f t="shared" si="20"/>
        <v>0.11985159598261899</v>
      </c>
      <c r="K118" s="16">
        <f t="shared" si="21"/>
        <v>9.4682760826269058E-2</v>
      </c>
      <c r="L118" s="16">
        <f t="shared" si="22"/>
        <v>7.4799381052752606E-2</v>
      </c>
      <c r="M118" s="16">
        <f t="shared" si="23"/>
        <v>5.9091511031674593E-2</v>
      </c>
      <c r="N118" s="5">
        <f t="shared" si="24"/>
        <v>4.6682293715022957E-2</v>
      </c>
      <c r="P118" s="4">
        <v>59.169508702342227</v>
      </c>
      <c r="Q118" s="5">
        <v>85.750933846622587</v>
      </c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</row>
    <row r="119" spans="1:31" x14ac:dyDescent="0.25">
      <c r="A119" s="4">
        <v>1</v>
      </c>
      <c r="B119" s="16">
        <f t="shared" si="25"/>
        <v>0.80000000000000049</v>
      </c>
      <c r="C119" s="16">
        <f t="shared" si="13"/>
        <v>0.64000000000000079</v>
      </c>
      <c r="D119" s="16">
        <f t="shared" si="14"/>
        <v>0.5120000000000009</v>
      </c>
      <c r="E119" s="16">
        <f t="shared" si="15"/>
        <v>0.40960000000000102</v>
      </c>
      <c r="F119" s="16">
        <f t="shared" si="16"/>
        <v>0.32768000000000103</v>
      </c>
      <c r="G119" s="16">
        <f t="shared" si="17"/>
        <v>0.26214400000000099</v>
      </c>
      <c r="H119" s="16">
        <f t="shared" si="18"/>
        <v>0.20971520000000088</v>
      </c>
      <c r="I119" s="16">
        <f t="shared" si="19"/>
        <v>0.16777216000000084</v>
      </c>
      <c r="J119" s="16">
        <f t="shared" si="20"/>
        <v>0.13421772800000076</v>
      </c>
      <c r="K119" s="16">
        <f t="shared" si="21"/>
        <v>0.10737418240000067</v>
      </c>
      <c r="L119" s="16">
        <f t="shared" si="22"/>
        <v>8.5899345920000578E-2</v>
      </c>
      <c r="M119" s="16">
        <f t="shared" si="23"/>
        <v>6.8719476736000512E-2</v>
      </c>
      <c r="N119" s="5">
        <f t="shared" si="24"/>
        <v>5.4975581388800446E-2</v>
      </c>
      <c r="P119" s="4">
        <v>57.808572481529609</v>
      </c>
      <c r="Q119" s="5">
        <v>86.699013201925467</v>
      </c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</row>
    <row r="120" spans="1:31" x14ac:dyDescent="0.25">
      <c r="A120" s="4">
        <v>1</v>
      </c>
      <c r="B120" s="16">
        <f t="shared" si="25"/>
        <v>0.8100000000000005</v>
      </c>
      <c r="C120" s="16">
        <f t="shared" si="13"/>
        <v>0.65610000000000079</v>
      </c>
      <c r="D120" s="16">
        <f t="shared" si="14"/>
        <v>0.53144100000000094</v>
      </c>
      <c r="E120" s="16">
        <f t="shared" si="15"/>
        <v>0.43046721000000104</v>
      </c>
      <c r="F120" s="16">
        <f t="shared" si="16"/>
        <v>0.34867844010000104</v>
      </c>
      <c r="G120" s="16">
        <f t="shared" si="17"/>
        <v>0.28242953648100105</v>
      </c>
      <c r="H120" s="16">
        <f t="shared" si="18"/>
        <v>0.22876792454961095</v>
      </c>
      <c r="I120" s="16">
        <f t="shared" si="19"/>
        <v>0.18530201888518499</v>
      </c>
      <c r="J120" s="16">
        <f t="shared" si="20"/>
        <v>0.15009463529699993</v>
      </c>
      <c r="K120" s="16">
        <f t="shared" si="21"/>
        <v>0.12157665459057002</v>
      </c>
      <c r="L120" s="16">
        <f t="shared" si="22"/>
        <v>9.8477090218361776E-2</v>
      </c>
      <c r="M120" s="16">
        <f t="shared" si="23"/>
        <v>7.9766443076873084E-2</v>
      </c>
      <c r="N120" s="5">
        <f t="shared" si="24"/>
        <v>6.4610818892267233E-2</v>
      </c>
      <c r="P120" s="4">
        <v>56.27503887270359</v>
      </c>
      <c r="Q120" s="5">
        <v>87.500310041110112</v>
      </c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</row>
    <row r="121" spans="1:31" x14ac:dyDescent="0.25">
      <c r="A121" s="4">
        <v>1</v>
      </c>
      <c r="B121" s="16">
        <f t="shared" si="25"/>
        <v>0.82000000000000051</v>
      </c>
      <c r="C121" s="16">
        <f t="shared" si="13"/>
        <v>0.67240000000000077</v>
      </c>
      <c r="D121" s="16">
        <f t="shared" si="14"/>
        <v>0.55136800000000097</v>
      </c>
      <c r="E121" s="16">
        <f t="shared" si="15"/>
        <v>0.45212176000000104</v>
      </c>
      <c r="F121" s="16">
        <f t="shared" si="16"/>
        <v>0.37073984320000108</v>
      </c>
      <c r="G121" s="16">
        <f t="shared" si="17"/>
        <v>0.30400667142400106</v>
      </c>
      <c r="H121" s="16">
        <f t="shared" si="18"/>
        <v>0.24928547056768102</v>
      </c>
      <c r="I121" s="16">
        <f t="shared" si="19"/>
        <v>0.20441408586549853</v>
      </c>
      <c r="J121" s="16">
        <f t="shared" si="20"/>
        <v>0.16761955040970888</v>
      </c>
      <c r="K121" s="16">
        <f t="shared" si="21"/>
        <v>0.13744803133596137</v>
      </c>
      <c r="L121" s="16">
        <f t="shared" si="22"/>
        <v>0.1127073856954884</v>
      </c>
      <c r="M121" s="16">
        <f t="shared" si="23"/>
        <v>9.2420056270300532E-2</v>
      </c>
      <c r="N121" s="5">
        <f t="shared" si="24"/>
        <v>7.5784446141646478E-2</v>
      </c>
      <c r="P121" s="4">
        <v>54.571108068499598</v>
      </c>
      <c r="Q121" s="5">
        <v>88.136527542788286</v>
      </c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</row>
    <row r="122" spans="1:31" x14ac:dyDescent="0.25">
      <c r="A122" s="4">
        <v>1</v>
      </c>
      <c r="B122" s="16">
        <f t="shared" si="25"/>
        <v>0.83000000000000052</v>
      </c>
      <c r="C122" s="16">
        <f t="shared" si="13"/>
        <v>0.68890000000000085</v>
      </c>
      <c r="D122" s="16">
        <f t="shared" si="14"/>
        <v>0.57178700000000104</v>
      </c>
      <c r="E122" s="16">
        <f t="shared" si="15"/>
        <v>0.47458321000000114</v>
      </c>
      <c r="F122" s="16">
        <f t="shared" si="16"/>
        <v>0.39390406430000119</v>
      </c>
      <c r="G122" s="16">
        <f t="shared" si="17"/>
        <v>0.32694037336900117</v>
      </c>
      <c r="H122" s="16">
        <f t="shared" si="18"/>
        <v>0.27136050989627114</v>
      </c>
      <c r="I122" s="16">
        <f t="shared" si="19"/>
        <v>0.22522922321390518</v>
      </c>
      <c r="J122" s="16">
        <f t="shared" si="20"/>
        <v>0.18694025526754141</v>
      </c>
      <c r="K122" s="16">
        <f t="shared" si="21"/>
        <v>0.15516041187205948</v>
      </c>
      <c r="L122" s="16">
        <f t="shared" si="22"/>
        <v>0.12878314185380943</v>
      </c>
      <c r="M122" s="16">
        <f t="shared" si="23"/>
        <v>0.10689000773866189</v>
      </c>
      <c r="N122" s="5">
        <f t="shared" si="24"/>
        <v>8.8718706423089419E-2</v>
      </c>
      <c r="P122" s="4">
        <v>52.702619321723432</v>
      </c>
      <c r="Q122" s="5">
        <v>88.589659533083562</v>
      </c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</row>
    <row r="123" spans="1:31" x14ac:dyDescent="0.25">
      <c r="A123" s="4">
        <v>1</v>
      </c>
      <c r="B123" s="16">
        <f t="shared" si="25"/>
        <v>0.84000000000000052</v>
      </c>
      <c r="C123" s="16">
        <f t="shared" si="13"/>
        <v>0.70560000000000089</v>
      </c>
      <c r="D123" s="16">
        <f t="shared" si="14"/>
        <v>0.59270400000000112</v>
      </c>
      <c r="E123" s="16">
        <f t="shared" si="15"/>
        <v>0.49787136000000126</v>
      </c>
      <c r="F123" s="16">
        <f t="shared" si="16"/>
        <v>0.41821194240000131</v>
      </c>
      <c r="G123" s="16">
        <f t="shared" si="17"/>
        <v>0.35129803161600132</v>
      </c>
      <c r="H123" s="16">
        <f t="shared" si="18"/>
        <v>0.29509034655744132</v>
      </c>
      <c r="I123" s="16">
        <f t="shared" si="19"/>
        <v>0.24787589110825087</v>
      </c>
      <c r="J123" s="16">
        <f t="shared" si="20"/>
        <v>0.20821574853093086</v>
      </c>
      <c r="K123" s="16">
        <f t="shared" si="21"/>
        <v>0.17490122876598202</v>
      </c>
      <c r="L123" s="16">
        <f t="shared" si="22"/>
        <v>0.146917032163425</v>
      </c>
      <c r="M123" s="16">
        <f t="shared" si="23"/>
        <v>0.12341030701727708</v>
      </c>
      <c r="N123" s="5">
        <f t="shared" si="24"/>
        <v>0.1036646578945128</v>
      </c>
      <c r="P123" s="4">
        <v>50.679279326061987</v>
      </c>
      <c r="Q123" s="5">
        <v>88.842303021621348</v>
      </c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</row>
    <row r="124" spans="1:31" x14ac:dyDescent="0.25">
      <c r="A124" s="4">
        <v>1</v>
      </c>
      <c r="B124" s="16">
        <f t="shared" si="25"/>
        <v>0.85000000000000053</v>
      </c>
      <c r="C124" s="16">
        <f t="shared" si="13"/>
        <v>0.72250000000000092</v>
      </c>
      <c r="D124" s="16">
        <f t="shared" si="14"/>
        <v>0.61412500000000114</v>
      </c>
      <c r="E124" s="16">
        <f t="shared" si="15"/>
        <v>0.52200625000000134</v>
      </c>
      <c r="F124" s="16">
        <f t="shared" si="16"/>
        <v>0.44370531250000139</v>
      </c>
      <c r="G124" s="16">
        <f t="shared" si="17"/>
        <v>0.37714951562500143</v>
      </c>
      <c r="H124" s="16">
        <f t="shared" si="18"/>
        <v>0.32057708828125142</v>
      </c>
      <c r="I124" s="16">
        <f t="shared" si="19"/>
        <v>0.2724905250390639</v>
      </c>
      <c r="J124" s="16">
        <f t="shared" si="20"/>
        <v>0.23161694628320445</v>
      </c>
      <c r="K124" s="16">
        <f t="shared" si="21"/>
        <v>0.19687440434072392</v>
      </c>
      <c r="L124" s="16">
        <f t="shared" si="22"/>
        <v>0.16734324368961542</v>
      </c>
      <c r="M124" s="16">
        <f t="shared" si="23"/>
        <v>0.14224175713617321</v>
      </c>
      <c r="N124" s="5">
        <f t="shared" si="24"/>
        <v>0.1209054935657473</v>
      </c>
      <c r="P124" s="4">
        <v>48.514838167531707</v>
      </c>
      <c r="Q124" s="5">
        <v>88.878001367538445</v>
      </c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</row>
    <row r="125" spans="1:31" x14ac:dyDescent="0.25">
      <c r="A125" s="4">
        <v>1</v>
      </c>
      <c r="B125" s="16">
        <f t="shared" si="25"/>
        <v>0.86000000000000054</v>
      </c>
      <c r="C125" s="16">
        <f t="shared" si="13"/>
        <v>0.73960000000000092</v>
      </c>
      <c r="D125" s="16">
        <f t="shared" si="14"/>
        <v>0.63605600000000118</v>
      </c>
      <c r="E125" s="16">
        <f t="shared" si="15"/>
        <v>0.54700816000000141</v>
      </c>
      <c r="F125" s="16">
        <f t="shared" si="16"/>
        <v>0.4704270176000015</v>
      </c>
      <c r="G125" s="16">
        <f t="shared" si="17"/>
        <v>0.40456723513600157</v>
      </c>
      <c r="H125" s="16">
        <f t="shared" si="18"/>
        <v>0.34792782221696156</v>
      </c>
      <c r="I125" s="16">
        <f t="shared" si="19"/>
        <v>0.29921792710658712</v>
      </c>
      <c r="J125" s="16">
        <f t="shared" si="20"/>
        <v>0.25732741731166509</v>
      </c>
      <c r="K125" s="16">
        <f t="shared" si="21"/>
        <v>0.22130157888803212</v>
      </c>
      <c r="L125" s="16">
        <f t="shared" si="22"/>
        <v>0.19031935784370774</v>
      </c>
      <c r="M125" s="16">
        <f t="shared" si="23"/>
        <v>0.16367464774558876</v>
      </c>
      <c r="N125" s="5">
        <f t="shared" si="24"/>
        <v>0.14076019706120643</v>
      </c>
      <c r="P125" s="4">
        <v>46.227204579959107</v>
      </c>
      <c r="Q125" s="5">
        <v>88.681617172045492</v>
      </c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</row>
    <row r="126" spans="1:31" x14ac:dyDescent="0.25">
      <c r="A126" s="4">
        <v>1</v>
      </c>
      <c r="B126" s="16">
        <f t="shared" si="25"/>
        <v>0.87000000000000055</v>
      </c>
      <c r="C126" s="16">
        <f t="shared" si="13"/>
        <v>0.75690000000000091</v>
      </c>
      <c r="D126" s="16">
        <f t="shared" si="14"/>
        <v>0.65850300000000117</v>
      </c>
      <c r="E126" s="16">
        <f t="shared" si="15"/>
        <v>0.57289761000000139</v>
      </c>
      <c r="F126" s="16">
        <f t="shared" si="16"/>
        <v>0.49842092070000155</v>
      </c>
      <c r="G126" s="16">
        <f t="shared" si="17"/>
        <v>0.43362620100900157</v>
      </c>
      <c r="H126" s="16">
        <f t="shared" si="18"/>
        <v>0.37725479487783159</v>
      </c>
      <c r="I126" s="16">
        <f t="shared" si="19"/>
        <v>0.32821167154371367</v>
      </c>
      <c r="J126" s="16">
        <f t="shared" si="20"/>
        <v>0.28554415424303109</v>
      </c>
      <c r="K126" s="16">
        <f t="shared" si="21"/>
        <v>0.24842341419143718</v>
      </c>
      <c r="L126" s="16">
        <f t="shared" si="22"/>
        <v>0.21612837034655047</v>
      </c>
      <c r="M126" s="16">
        <f t="shared" si="23"/>
        <v>0.18803168220149902</v>
      </c>
      <c r="N126" s="5">
        <f t="shared" si="24"/>
        <v>0.16358756351530426</v>
      </c>
      <c r="P126" s="4">
        <v>43.838492444559961</v>
      </c>
      <c r="Q126" s="5">
        <v>88.239733369911676</v>
      </c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</row>
    <row r="127" spans="1:31" x14ac:dyDescent="0.25">
      <c r="A127" s="4">
        <v>1</v>
      </c>
      <c r="B127" s="16">
        <f t="shared" si="25"/>
        <v>0.88000000000000056</v>
      </c>
      <c r="C127" s="16">
        <f t="shared" si="13"/>
        <v>0.77440000000000098</v>
      </c>
      <c r="D127" s="16">
        <f t="shared" si="14"/>
        <v>0.6814720000000013</v>
      </c>
      <c r="E127" s="16">
        <f t="shared" si="15"/>
        <v>0.59969536000000156</v>
      </c>
      <c r="F127" s="16">
        <f t="shared" si="16"/>
        <v>0.52773191680000175</v>
      </c>
      <c r="G127" s="16">
        <f t="shared" si="17"/>
        <v>0.4644040867840018</v>
      </c>
      <c r="H127" s="16">
        <f t="shared" si="18"/>
        <v>0.40867559636992185</v>
      </c>
      <c r="I127" s="16">
        <f t="shared" si="19"/>
        <v>0.35963452480553149</v>
      </c>
      <c r="J127" s="16">
        <f t="shared" si="20"/>
        <v>0.31647838182886789</v>
      </c>
      <c r="K127" s="16">
        <f t="shared" si="21"/>
        <v>0.27850097600940393</v>
      </c>
      <c r="L127" s="16">
        <f t="shared" si="22"/>
        <v>0.24508085888827563</v>
      </c>
      <c r="M127" s="16">
        <f t="shared" si="23"/>
        <v>0.2156711558216827</v>
      </c>
      <c r="N127" s="5">
        <f t="shared" si="24"/>
        <v>0.1897906171230809</v>
      </c>
      <c r="P127" s="4">
        <v>41.374990874577634</v>
      </c>
      <c r="Q127" s="5">
        <v>87.54108027203921</v>
      </c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</row>
    <row r="128" spans="1:31" x14ac:dyDescent="0.25">
      <c r="A128" s="4">
        <v>1</v>
      </c>
      <c r="B128" s="16">
        <f t="shared" si="25"/>
        <v>0.89000000000000057</v>
      </c>
      <c r="C128" s="16">
        <f t="shared" si="13"/>
        <v>0.79210000000000103</v>
      </c>
      <c r="D128" s="16">
        <f t="shared" si="14"/>
        <v>0.7049690000000014</v>
      </c>
      <c r="E128" s="16">
        <f t="shared" si="15"/>
        <v>0.62742241000000165</v>
      </c>
      <c r="F128" s="16">
        <f t="shared" si="16"/>
        <v>0.55840594490000184</v>
      </c>
      <c r="G128" s="16">
        <f t="shared" si="17"/>
        <v>0.49698129096100196</v>
      </c>
      <c r="H128" s="16">
        <f t="shared" si="18"/>
        <v>0.44231334895529206</v>
      </c>
      <c r="I128" s="16">
        <f t="shared" si="19"/>
        <v>0.39365888057021015</v>
      </c>
      <c r="J128" s="16">
        <f t="shared" si="20"/>
        <v>0.35035640370748727</v>
      </c>
      <c r="K128" s="16">
        <f t="shared" si="21"/>
        <v>0.31181719929966384</v>
      </c>
      <c r="L128" s="16">
        <f t="shared" si="22"/>
        <v>0.27751730737670105</v>
      </c>
      <c r="M128" s="16">
        <f t="shared" si="23"/>
        <v>0.24699040356526408</v>
      </c>
      <c r="N128" s="5">
        <f t="shared" si="24"/>
        <v>0.21982145917308518</v>
      </c>
      <c r="P128" s="4">
        <v>38.86705084372079</v>
      </c>
      <c r="Q128" s="5">
        <v>86.576985490448692</v>
      </c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</row>
    <row r="129" spans="1:31" x14ac:dyDescent="0.25">
      <c r="A129" s="4">
        <v>1</v>
      </c>
      <c r="B129" s="16">
        <f t="shared" si="25"/>
        <v>0.90000000000000058</v>
      </c>
      <c r="C129" s="16">
        <f t="shared" si="13"/>
        <v>0.81000000000000105</v>
      </c>
      <c r="D129" s="16">
        <f t="shared" si="14"/>
        <v>0.72900000000000142</v>
      </c>
      <c r="E129" s="16">
        <f t="shared" si="15"/>
        <v>0.65610000000000168</v>
      </c>
      <c r="F129" s="16">
        <f t="shared" si="16"/>
        <v>0.59049000000000185</v>
      </c>
      <c r="G129" s="16">
        <f t="shared" si="17"/>
        <v>0.53144100000000205</v>
      </c>
      <c r="H129" s="16">
        <f t="shared" si="18"/>
        <v>0.47829690000000213</v>
      </c>
      <c r="I129" s="16">
        <f t="shared" si="19"/>
        <v>0.43046721000000221</v>
      </c>
      <c r="J129" s="16">
        <f t="shared" si="20"/>
        <v>0.38742048900000225</v>
      </c>
      <c r="K129" s="16">
        <f t="shared" si="21"/>
        <v>0.34867844010000226</v>
      </c>
      <c r="L129" s="16">
        <f t="shared" si="22"/>
        <v>0.31381059609000223</v>
      </c>
      <c r="M129" s="16">
        <f t="shared" si="23"/>
        <v>0.28242953648100216</v>
      </c>
      <c r="N129" s="5">
        <f t="shared" si="24"/>
        <v>0.25418658283290207</v>
      </c>
      <c r="P129" s="4">
        <v>36.348882172273079</v>
      </c>
      <c r="Q129" s="5">
        <v>85.34184274302379</v>
      </c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</row>
    <row r="130" spans="1:31" x14ac:dyDescent="0.25">
      <c r="A130" s="4">
        <v>1</v>
      </c>
      <c r="B130" s="16">
        <f t="shared" si="25"/>
        <v>0.91000000000000059</v>
      </c>
      <c r="C130" s="16">
        <f t="shared" si="13"/>
        <v>0.82810000000000106</v>
      </c>
      <c r="D130" s="16">
        <f t="shared" si="14"/>
        <v>0.75357100000000143</v>
      </c>
      <c r="E130" s="16">
        <f t="shared" si="15"/>
        <v>0.68574961000000179</v>
      </c>
      <c r="F130" s="16">
        <f t="shared" si="16"/>
        <v>0.62403214510000204</v>
      </c>
      <c r="G130" s="16">
        <f t="shared" si="17"/>
        <v>0.56786925204100225</v>
      </c>
      <c r="H130" s="16">
        <f t="shared" si="18"/>
        <v>0.51676101935731233</v>
      </c>
      <c r="I130" s="16">
        <f t="shared" si="19"/>
        <v>0.47025252761515457</v>
      </c>
      <c r="J130" s="16">
        <f t="shared" si="20"/>
        <v>0.42792980012979093</v>
      </c>
      <c r="K130" s="16">
        <f t="shared" si="21"/>
        <v>0.38941611811811</v>
      </c>
      <c r="L130" s="16">
        <f t="shared" si="22"/>
        <v>0.3543686674874803</v>
      </c>
      <c r="M130" s="16">
        <f t="shared" si="23"/>
        <v>0.32247548741360732</v>
      </c>
      <c r="N130" s="5">
        <f t="shared" si="24"/>
        <v>0.29345269354638287</v>
      </c>
      <c r="P130" s="4">
        <v>33.858255830777125</v>
      </c>
      <c r="Q130" s="5">
        <v>83.833594483321917</v>
      </c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</row>
    <row r="131" spans="1:31" x14ac:dyDescent="0.25">
      <c r="A131" s="4">
        <v>1</v>
      </c>
      <c r="B131" s="16">
        <f t="shared" si="25"/>
        <v>0.9200000000000006</v>
      </c>
      <c r="C131" s="16">
        <f t="shared" si="13"/>
        <v>0.84640000000000104</v>
      </c>
      <c r="D131" s="16">
        <f t="shared" si="14"/>
        <v>0.77868800000000149</v>
      </c>
      <c r="E131" s="16">
        <f t="shared" si="15"/>
        <v>0.71639296000000174</v>
      </c>
      <c r="F131" s="16">
        <f t="shared" si="16"/>
        <v>0.65908152320000202</v>
      </c>
      <c r="G131" s="16">
        <f t="shared" si="17"/>
        <v>0.60635500134400222</v>
      </c>
      <c r="H131" s="16">
        <f t="shared" si="18"/>
        <v>0.55784660123648244</v>
      </c>
      <c r="I131" s="16">
        <f t="shared" si="19"/>
        <v>0.51321887313756409</v>
      </c>
      <c r="J131" s="16">
        <f t="shared" si="20"/>
        <v>0.47216136328655928</v>
      </c>
      <c r="K131" s="16">
        <f t="shared" si="21"/>
        <v>0.43438845422363476</v>
      </c>
      <c r="L131" s="16">
        <f t="shared" si="22"/>
        <v>0.39963737788574427</v>
      </c>
      <c r="M131" s="16">
        <f t="shared" si="23"/>
        <v>0.36766638765488491</v>
      </c>
      <c r="N131" s="5">
        <f t="shared" si="24"/>
        <v>0.33825307664249432</v>
      </c>
      <c r="P131" s="4">
        <v>31.436107958370485</v>
      </c>
      <c r="Q131" s="5">
        <v>82.054222119086376</v>
      </c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</row>
    <row r="132" spans="1:31" x14ac:dyDescent="0.25">
      <c r="A132" s="4">
        <v>1</v>
      </c>
      <c r="B132" s="16">
        <f t="shared" si="25"/>
        <v>0.9300000000000006</v>
      </c>
      <c r="C132" s="16">
        <f t="shared" si="13"/>
        <v>0.86490000000000111</v>
      </c>
      <c r="D132" s="16">
        <f t="shared" si="14"/>
        <v>0.80435700000000154</v>
      </c>
      <c r="E132" s="16">
        <f t="shared" si="15"/>
        <v>0.74805201000000188</v>
      </c>
      <c r="F132" s="16">
        <f t="shared" si="16"/>
        <v>0.69568836930000222</v>
      </c>
      <c r="G132" s="16">
        <f t="shared" si="17"/>
        <v>0.6469901834490025</v>
      </c>
      <c r="H132" s="16">
        <f t="shared" si="18"/>
        <v>0.60170087060757271</v>
      </c>
      <c r="I132" s="16">
        <f t="shared" si="19"/>
        <v>0.5595818096650429</v>
      </c>
      <c r="J132" s="16">
        <f t="shared" si="20"/>
        <v>0.52041108298849026</v>
      </c>
      <c r="K132" s="16">
        <f t="shared" si="21"/>
        <v>0.48398230717929625</v>
      </c>
      <c r="L132" s="16">
        <f t="shared" si="22"/>
        <v>0.45010354567674576</v>
      </c>
      <c r="M132" s="16">
        <f t="shared" si="23"/>
        <v>0.41859629747937382</v>
      </c>
      <c r="N132" s="5">
        <f t="shared" si="24"/>
        <v>0.38929455665581791</v>
      </c>
      <c r="P132" s="4">
        <v>29.126043800753905</v>
      </c>
      <c r="Q132" s="5">
        <v>80.010236262379976</v>
      </c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</row>
    <row r="133" spans="1:31" x14ac:dyDescent="0.25">
      <c r="A133" s="4">
        <v>1</v>
      </c>
      <c r="B133" s="16">
        <f t="shared" si="25"/>
        <v>0.94000000000000061</v>
      </c>
      <c r="C133" s="16">
        <f t="shared" si="13"/>
        <v>0.88360000000000116</v>
      </c>
      <c r="D133" s="16">
        <f t="shared" si="14"/>
        <v>0.83058400000000165</v>
      </c>
      <c r="E133" s="16">
        <f t="shared" si="15"/>
        <v>0.78074896000000205</v>
      </c>
      <c r="F133" s="16">
        <f t="shared" si="16"/>
        <v>0.73390402240000241</v>
      </c>
      <c r="G133" s="16">
        <f t="shared" si="17"/>
        <v>0.68986978105600272</v>
      </c>
      <c r="H133" s="16">
        <f t="shared" si="18"/>
        <v>0.64847759419264295</v>
      </c>
      <c r="I133" s="16">
        <f t="shared" si="19"/>
        <v>0.60956893854108485</v>
      </c>
      <c r="J133" s="16">
        <f t="shared" si="20"/>
        <v>0.57299480222862009</v>
      </c>
      <c r="K133" s="16">
        <f t="shared" si="21"/>
        <v>0.53861511409490326</v>
      </c>
      <c r="L133" s="16">
        <f t="shared" si="22"/>
        <v>0.50629820724920938</v>
      </c>
      <c r="M133" s="16">
        <f t="shared" si="23"/>
        <v>0.47592031481425717</v>
      </c>
      <c r="N133" s="5">
        <f t="shared" si="24"/>
        <v>0.44736509592540202</v>
      </c>
      <c r="P133" s="4">
        <v>26.973741946563678</v>
      </c>
      <c r="Q133" s="5">
        <v>77.713157985848511</v>
      </c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</row>
    <row r="134" spans="1:31" x14ac:dyDescent="0.25">
      <c r="A134" s="4">
        <v>1</v>
      </c>
      <c r="B134" s="16">
        <f t="shared" si="25"/>
        <v>0.95000000000000062</v>
      </c>
      <c r="C134" s="16">
        <f t="shared" si="13"/>
        <v>0.90250000000000119</v>
      </c>
      <c r="D134" s="16">
        <f t="shared" si="14"/>
        <v>0.85737500000000166</v>
      </c>
      <c r="E134" s="16">
        <f t="shared" si="15"/>
        <v>0.8145062500000021</v>
      </c>
      <c r="F134" s="16">
        <f t="shared" si="16"/>
        <v>0.77378093750000254</v>
      </c>
      <c r="G134" s="16">
        <f t="shared" si="17"/>
        <v>0.73509189062500291</v>
      </c>
      <c r="H134" s="16">
        <f t="shared" si="18"/>
        <v>0.69833729609375317</v>
      </c>
      <c r="I134" s="16">
        <f t="shared" si="19"/>
        <v>0.66342043128906591</v>
      </c>
      <c r="J134" s="16">
        <f t="shared" si="20"/>
        <v>0.63024940972461307</v>
      </c>
      <c r="K134" s="16">
        <f t="shared" si="21"/>
        <v>0.59873693923838278</v>
      </c>
      <c r="L134" s="16">
        <f t="shared" si="22"/>
        <v>0.568800092276464</v>
      </c>
      <c r="M134" s="16">
        <f t="shared" si="23"/>
        <v>0.5403600876626411</v>
      </c>
      <c r="N134" s="5">
        <f t="shared" si="24"/>
        <v>0.51334208327950948</v>
      </c>
      <c r="P134" s="4">
        <v>25.026261852846801</v>
      </c>
      <c r="Q134" s="5">
        <v>75.179980432430739</v>
      </c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</row>
    <row r="135" spans="1:31" x14ac:dyDescent="0.25">
      <c r="A135" s="4">
        <v>1</v>
      </c>
      <c r="B135" s="16">
        <f t="shared" si="25"/>
        <v>0.96000000000000063</v>
      </c>
      <c r="C135" s="16">
        <f t="shared" si="13"/>
        <v>0.9216000000000012</v>
      </c>
      <c r="D135" s="16">
        <f t="shared" si="14"/>
        <v>0.88473600000000174</v>
      </c>
      <c r="E135" s="16">
        <f t="shared" si="15"/>
        <v>0.84934656000000219</v>
      </c>
      <c r="F135" s="16">
        <f t="shared" si="16"/>
        <v>0.81537269760000264</v>
      </c>
      <c r="G135" s="16">
        <f t="shared" si="17"/>
        <v>0.78275778969600307</v>
      </c>
      <c r="H135" s="16">
        <f t="shared" si="18"/>
        <v>0.75144747810816337</v>
      </c>
      <c r="I135" s="16">
        <f t="shared" si="19"/>
        <v>0.72138957898383738</v>
      </c>
      <c r="J135" s="16">
        <f t="shared" si="20"/>
        <v>0.69253399582448438</v>
      </c>
      <c r="K135" s="16">
        <f t="shared" si="21"/>
        <v>0.66483263599150544</v>
      </c>
      <c r="L135" s="16">
        <f t="shared" si="22"/>
        <v>0.63823933055184556</v>
      </c>
      <c r="M135" s="16">
        <f t="shared" si="23"/>
        <v>0.61270975732977218</v>
      </c>
      <c r="N135" s="5">
        <f t="shared" si="24"/>
        <v>0.58820136703658166</v>
      </c>
      <c r="P135" s="4">
        <v>23.331260735882097</v>
      </c>
      <c r="Q135" s="5">
        <v>72.433598328381095</v>
      </c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</row>
    <row r="136" spans="1:31" x14ac:dyDescent="0.25">
      <c r="A136" s="4">
        <v>1</v>
      </c>
      <c r="B136" s="16">
        <f t="shared" si="25"/>
        <v>0.97000000000000064</v>
      </c>
      <c r="C136" s="16">
        <f t="shared" si="13"/>
        <v>0.94090000000000129</v>
      </c>
      <c r="D136" s="16">
        <f t="shared" si="14"/>
        <v>0.91267300000000184</v>
      </c>
      <c r="E136" s="16">
        <f t="shared" si="15"/>
        <v>0.88529281000000248</v>
      </c>
      <c r="F136" s="16">
        <f t="shared" si="16"/>
        <v>0.85873402570000301</v>
      </c>
      <c r="G136" s="16">
        <f t="shared" si="17"/>
        <v>0.83297200492900347</v>
      </c>
      <c r="H136" s="16">
        <f t="shared" si="18"/>
        <v>0.80798284478113391</v>
      </c>
      <c r="I136" s="16">
        <f t="shared" si="19"/>
        <v>0.78374335943770046</v>
      </c>
      <c r="J136" s="16">
        <f t="shared" si="20"/>
        <v>0.76023105865456997</v>
      </c>
      <c r="K136" s="16">
        <f t="shared" si="21"/>
        <v>0.73742412689493342</v>
      </c>
      <c r="L136" s="16">
        <f t="shared" si="22"/>
        <v>0.71530140308808587</v>
      </c>
      <c r="M136" s="16">
        <f t="shared" si="23"/>
        <v>0.69384236099544383</v>
      </c>
      <c r="N136" s="5">
        <f t="shared" si="24"/>
        <v>0.67302709016558093</v>
      </c>
      <c r="P136" s="4">
        <v>21.93612950550596</v>
      </c>
      <c r="Q136" s="5">
        <v>69.503190972352286</v>
      </c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</row>
    <row r="137" spans="1:31" x14ac:dyDescent="0.25">
      <c r="A137" s="4">
        <v>1</v>
      </c>
      <c r="B137" s="16">
        <f t="shared" si="25"/>
        <v>0.98000000000000065</v>
      </c>
      <c r="C137" s="16">
        <f t="shared" si="13"/>
        <v>0.96040000000000125</v>
      </c>
      <c r="D137" s="16">
        <f t="shared" si="14"/>
        <v>0.9411920000000018</v>
      </c>
      <c r="E137" s="16">
        <f t="shared" si="15"/>
        <v>0.92236816000000243</v>
      </c>
      <c r="F137" s="16">
        <f t="shared" si="16"/>
        <v>0.90392079680000303</v>
      </c>
      <c r="G137" s="16">
        <f t="shared" si="17"/>
        <v>0.88584238086400346</v>
      </c>
      <c r="H137" s="16">
        <f t="shared" si="18"/>
        <v>0.86812553324672392</v>
      </c>
      <c r="I137" s="16">
        <f t="shared" si="19"/>
        <v>0.85076302258179004</v>
      </c>
      <c r="J137" s="16">
        <f t="shared" si="20"/>
        <v>0.83374776213015478</v>
      </c>
      <c r="K137" s="16">
        <f t="shared" si="21"/>
        <v>0.81707280688755224</v>
      </c>
      <c r="L137" s="16">
        <f t="shared" si="22"/>
        <v>0.80073135074980162</v>
      </c>
      <c r="M137" s="16">
        <f t="shared" si="23"/>
        <v>0.78471672373480617</v>
      </c>
      <c r="N137" s="5">
        <f t="shared" si="24"/>
        <v>0.76902238926011068</v>
      </c>
      <c r="P137" s="4">
        <v>20.887061594294209</v>
      </c>
      <c r="Q137" s="5">
        <v>66.424542103726026</v>
      </c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</row>
    <row r="138" spans="1:31" x14ac:dyDescent="0.25">
      <c r="A138" s="4">
        <v>1</v>
      </c>
      <c r="B138" s="16">
        <f t="shared" si="25"/>
        <v>0.99000000000000066</v>
      </c>
      <c r="C138" s="16">
        <f t="shared" si="13"/>
        <v>0.9801000000000013</v>
      </c>
      <c r="D138" s="16">
        <f t="shared" si="14"/>
        <v>0.97029900000000191</v>
      </c>
      <c r="E138" s="16">
        <f t="shared" si="15"/>
        <v>0.96059601000000261</v>
      </c>
      <c r="F138" s="16">
        <f t="shared" si="16"/>
        <v>0.95099004990000324</v>
      </c>
      <c r="G138" s="16">
        <f t="shared" si="17"/>
        <v>0.94148014940100377</v>
      </c>
      <c r="H138" s="16">
        <f t="shared" si="18"/>
        <v>0.93206534790699436</v>
      </c>
      <c r="I138" s="16">
        <f t="shared" si="19"/>
        <v>0.92274469442792506</v>
      </c>
      <c r="J138" s="16">
        <f t="shared" si="20"/>
        <v>0.91351724748364638</v>
      </c>
      <c r="K138" s="16">
        <f t="shared" si="21"/>
        <v>0.90438207500881052</v>
      </c>
      <c r="L138" s="16">
        <f t="shared" si="22"/>
        <v>0.89533825425872304</v>
      </c>
      <c r="M138" s="16">
        <f t="shared" si="23"/>
        <v>0.88638487171613645</v>
      </c>
      <c r="N138" s="5">
        <f t="shared" si="24"/>
        <v>0.87752102299897572</v>
      </c>
      <c r="P138" s="4">
        <v>20.228073332596978</v>
      </c>
      <c r="Q138" s="5">
        <v>63.240277679439032</v>
      </c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</row>
    <row r="139" spans="1:31" ht="13.8" thickBot="1" x14ac:dyDescent="0.3">
      <c r="A139" s="23">
        <v>1</v>
      </c>
      <c r="B139" s="24">
        <f t="shared" si="25"/>
        <v>1.0000000000000007</v>
      </c>
      <c r="C139" s="24">
        <f t="shared" si="13"/>
        <v>1.0000000000000013</v>
      </c>
      <c r="D139" s="24">
        <f t="shared" si="14"/>
        <v>1.000000000000002</v>
      </c>
      <c r="E139" s="24">
        <f t="shared" si="15"/>
        <v>1.0000000000000027</v>
      </c>
      <c r="F139" s="16">
        <f t="shared" si="16"/>
        <v>1.0000000000000033</v>
      </c>
      <c r="G139" s="24">
        <f t="shared" si="17"/>
        <v>1.000000000000004</v>
      </c>
      <c r="H139" s="24">
        <f t="shared" si="18"/>
        <v>1.0000000000000047</v>
      </c>
      <c r="I139" s="24">
        <f t="shared" si="19"/>
        <v>1.0000000000000053</v>
      </c>
      <c r="J139" s="24">
        <f t="shared" si="20"/>
        <v>1.000000000000006</v>
      </c>
      <c r="K139" s="24">
        <f t="shared" si="21"/>
        <v>1.0000000000000067</v>
      </c>
      <c r="L139" s="24">
        <f t="shared" si="22"/>
        <v>1.0000000000000073</v>
      </c>
      <c r="M139" s="24">
        <f t="shared" si="23"/>
        <v>1.000000000000008</v>
      </c>
      <c r="N139" s="25">
        <f t="shared" si="24"/>
        <v>1.0000000000000087</v>
      </c>
      <c r="P139" s="23">
        <v>19.999999999919964</v>
      </c>
      <c r="Q139" s="25">
        <v>59.999999999996817</v>
      </c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</row>
    <row r="140" spans="1:31" x14ac:dyDescent="0.25"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</row>
    <row r="141" spans="1:31" x14ac:dyDescent="0.25">
      <c r="A141" t="s">
        <v>43</v>
      </c>
    </row>
    <row r="142" spans="1:31" ht="13.8" thickBot="1" x14ac:dyDescent="0.3">
      <c r="B142">
        <v>0</v>
      </c>
      <c r="C142">
        <v>1</v>
      </c>
      <c r="D142">
        <v>2</v>
      </c>
      <c r="E142">
        <v>3</v>
      </c>
      <c r="F142">
        <v>4</v>
      </c>
      <c r="G142">
        <v>5</v>
      </c>
      <c r="H142">
        <v>6</v>
      </c>
      <c r="I142">
        <v>7</v>
      </c>
      <c r="J142">
        <v>8</v>
      </c>
      <c r="K142">
        <v>9</v>
      </c>
      <c r="L142">
        <v>10</v>
      </c>
      <c r="M142">
        <v>11</v>
      </c>
      <c r="N142">
        <v>12</v>
      </c>
      <c r="O142">
        <v>13</v>
      </c>
    </row>
    <row r="143" spans="1:31" x14ac:dyDescent="0.25">
      <c r="A143">
        <v>0</v>
      </c>
      <c r="B143" s="2">
        <f t="shared" ref="B143:N143" si="26">C143+C144</f>
        <v>1</v>
      </c>
      <c r="C143" s="22">
        <f t="shared" si="26"/>
        <v>0</v>
      </c>
      <c r="D143" s="22">
        <f t="shared" si="26"/>
        <v>0</v>
      </c>
      <c r="E143" s="22">
        <f t="shared" si="26"/>
        <v>0</v>
      </c>
      <c r="F143" s="22">
        <f t="shared" si="26"/>
        <v>0</v>
      </c>
      <c r="G143" s="22">
        <f t="shared" si="26"/>
        <v>0</v>
      </c>
      <c r="H143" s="22">
        <f t="shared" si="26"/>
        <v>0</v>
      </c>
      <c r="I143" s="22">
        <f t="shared" si="26"/>
        <v>0</v>
      </c>
      <c r="J143" s="22">
        <f t="shared" si="26"/>
        <v>0</v>
      </c>
      <c r="K143" s="22">
        <f t="shared" si="26"/>
        <v>0</v>
      </c>
      <c r="L143" s="22">
        <f t="shared" si="26"/>
        <v>0</v>
      </c>
      <c r="M143" s="22">
        <f t="shared" si="26"/>
        <v>0</v>
      </c>
      <c r="N143" s="22">
        <f t="shared" si="26"/>
        <v>0</v>
      </c>
      <c r="O143" s="3">
        <v>0</v>
      </c>
    </row>
    <row r="144" spans="1:31" x14ac:dyDescent="0.25">
      <c r="A144">
        <v>1</v>
      </c>
      <c r="B144" s="4">
        <f t="shared" ref="B144:N144" si="27">C144+C145</f>
        <v>13</v>
      </c>
      <c r="C144" s="16">
        <f t="shared" si="27"/>
        <v>1</v>
      </c>
      <c r="D144" s="16">
        <f t="shared" si="27"/>
        <v>0</v>
      </c>
      <c r="E144" s="16">
        <f t="shared" si="27"/>
        <v>0</v>
      </c>
      <c r="F144" s="16">
        <f t="shared" si="27"/>
        <v>0</v>
      </c>
      <c r="G144" s="16">
        <f t="shared" si="27"/>
        <v>0</v>
      </c>
      <c r="H144" s="16">
        <f t="shared" si="27"/>
        <v>0</v>
      </c>
      <c r="I144" s="16">
        <f t="shared" si="27"/>
        <v>0</v>
      </c>
      <c r="J144" s="16">
        <f t="shared" si="27"/>
        <v>0</v>
      </c>
      <c r="K144" s="16">
        <f t="shared" si="27"/>
        <v>0</v>
      </c>
      <c r="L144" s="16">
        <f t="shared" si="27"/>
        <v>0</v>
      </c>
      <c r="M144" s="16">
        <f t="shared" si="27"/>
        <v>0</v>
      </c>
      <c r="N144" s="16">
        <f t="shared" si="27"/>
        <v>0</v>
      </c>
      <c r="O144" s="5">
        <v>0</v>
      </c>
    </row>
    <row r="145" spans="1:15" x14ac:dyDescent="0.25">
      <c r="A145">
        <v>2</v>
      </c>
      <c r="B145" s="4">
        <f t="shared" ref="B145:N145" si="28">C145+C146</f>
        <v>78</v>
      </c>
      <c r="C145" s="16">
        <f t="shared" si="28"/>
        <v>12</v>
      </c>
      <c r="D145" s="16">
        <f t="shared" si="28"/>
        <v>1</v>
      </c>
      <c r="E145" s="16">
        <f t="shared" si="28"/>
        <v>0</v>
      </c>
      <c r="F145" s="16">
        <f t="shared" si="28"/>
        <v>0</v>
      </c>
      <c r="G145" s="16">
        <f t="shared" si="28"/>
        <v>0</v>
      </c>
      <c r="H145" s="16">
        <f t="shared" si="28"/>
        <v>0</v>
      </c>
      <c r="I145" s="16">
        <f t="shared" si="28"/>
        <v>0</v>
      </c>
      <c r="J145" s="16">
        <f t="shared" si="28"/>
        <v>0</v>
      </c>
      <c r="K145" s="16">
        <f t="shared" si="28"/>
        <v>0</v>
      </c>
      <c r="L145" s="16">
        <f t="shared" si="28"/>
        <v>0</v>
      </c>
      <c r="M145" s="16">
        <f t="shared" si="28"/>
        <v>0</v>
      </c>
      <c r="N145" s="16">
        <f t="shared" si="28"/>
        <v>0</v>
      </c>
      <c r="O145" s="5">
        <v>0</v>
      </c>
    </row>
    <row r="146" spans="1:15" x14ac:dyDescent="0.25">
      <c r="A146">
        <v>3</v>
      </c>
      <c r="B146" s="4">
        <f t="shared" ref="B146:N146" si="29">C146+C147</f>
        <v>286</v>
      </c>
      <c r="C146" s="16">
        <f t="shared" si="29"/>
        <v>66</v>
      </c>
      <c r="D146" s="16">
        <f t="shared" si="29"/>
        <v>11</v>
      </c>
      <c r="E146" s="16">
        <f t="shared" si="29"/>
        <v>1</v>
      </c>
      <c r="F146" s="16">
        <f t="shared" si="29"/>
        <v>0</v>
      </c>
      <c r="G146" s="16">
        <f t="shared" si="29"/>
        <v>0</v>
      </c>
      <c r="H146" s="16">
        <f t="shared" si="29"/>
        <v>0</v>
      </c>
      <c r="I146" s="16">
        <f t="shared" si="29"/>
        <v>0</v>
      </c>
      <c r="J146" s="16">
        <f t="shared" si="29"/>
        <v>0</v>
      </c>
      <c r="K146" s="16">
        <f t="shared" si="29"/>
        <v>0</v>
      </c>
      <c r="L146" s="16">
        <f t="shared" si="29"/>
        <v>0</v>
      </c>
      <c r="M146" s="16">
        <f t="shared" si="29"/>
        <v>0</v>
      </c>
      <c r="N146" s="16">
        <f t="shared" si="29"/>
        <v>0</v>
      </c>
      <c r="O146" s="5">
        <v>0</v>
      </c>
    </row>
    <row r="147" spans="1:15" x14ac:dyDescent="0.25">
      <c r="A147">
        <v>4</v>
      </c>
      <c r="B147" s="4">
        <f t="shared" ref="B147:N147" si="30">C147+C148</f>
        <v>715</v>
      </c>
      <c r="C147" s="16">
        <f t="shared" si="30"/>
        <v>220</v>
      </c>
      <c r="D147" s="16">
        <f t="shared" si="30"/>
        <v>55</v>
      </c>
      <c r="E147" s="16">
        <f t="shared" si="30"/>
        <v>10</v>
      </c>
      <c r="F147" s="16">
        <f t="shared" si="30"/>
        <v>1</v>
      </c>
      <c r="G147" s="16">
        <f t="shared" si="30"/>
        <v>0</v>
      </c>
      <c r="H147" s="16">
        <f t="shared" si="30"/>
        <v>0</v>
      </c>
      <c r="I147" s="16">
        <f t="shared" si="30"/>
        <v>0</v>
      </c>
      <c r="J147" s="16">
        <f t="shared" si="30"/>
        <v>0</v>
      </c>
      <c r="K147" s="16">
        <f t="shared" si="30"/>
        <v>0</v>
      </c>
      <c r="L147" s="16">
        <f t="shared" si="30"/>
        <v>0</v>
      </c>
      <c r="M147" s="16">
        <f t="shared" si="30"/>
        <v>0</v>
      </c>
      <c r="N147" s="16">
        <f t="shared" si="30"/>
        <v>0</v>
      </c>
      <c r="O147" s="5">
        <v>0</v>
      </c>
    </row>
    <row r="148" spans="1:15" x14ac:dyDescent="0.25">
      <c r="A148">
        <v>5</v>
      </c>
      <c r="B148" s="4">
        <f t="shared" ref="B148:N148" si="31">C148+C149</f>
        <v>1287</v>
      </c>
      <c r="C148" s="16">
        <f t="shared" si="31"/>
        <v>495</v>
      </c>
      <c r="D148" s="16">
        <f t="shared" si="31"/>
        <v>165</v>
      </c>
      <c r="E148" s="16">
        <f t="shared" si="31"/>
        <v>45</v>
      </c>
      <c r="F148" s="16">
        <f t="shared" si="31"/>
        <v>9</v>
      </c>
      <c r="G148" s="16">
        <f t="shared" si="31"/>
        <v>1</v>
      </c>
      <c r="H148" s="16">
        <f t="shared" si="31"/>
        <v>0</v>
      </c>
      <c r="I148" s="16">
        <f t="shared" si="31"/>
        <v>0</v>
      </c>
      <c r="J148" s="16">
        <f t="shared" si="31"/>
        <v>0</v>
      </c>
      <c r="K148" s="16">
        <f t="shared" si="31"/>
        <v>0</v>
      </c>
      <c r="L148" s="16">
        <f t="shared" si="31"/>
        <v>0</v>
      </c>
      <c r="M148" s="16">
        <f t="shared" si="31"/>
        <v>0</v>
      </c>
      <c r="N148" s="16">
        <f t="shared" si="31"/>
        <v>0</v>
      </c>
      <c r="O148" s="5">
        <v>0</v>
      </c>
    </row>
    <row r="149" spans="1:15" x14ac:dyDescent="0.25">
      <c r="A149">
        <v>6</v>
      </c>
      <c r="B149" s="4">
        <f t="shared" ref="B149:N149" si="32">C149+C150</f>
        <v>1716</v>
      </c>
      <c r="C149" s="16">
        <f t="shared" si="32"/>
        <v>792</v>
      </c>
      <c r="D149" s="16">
        <f t="shared" si="32"/>
        <v>330</v>
      </c>
      <c r="E149" s="16">
        <f t="shared" si="32"/>
        <v>120</v>
      </c>
      <c r="F149" s="16">
        <f t="shared" si="32"/>
        <v>36</v>
      </c>
      <c r="G149" s="16">
        <f t="shared" si="32"/>
        <v>8</v>
      </c>
      <c r="H149" s="16">
        <f t="shared" si="32"/>
        <v>1</v>
      </c>
      <c r="I149" s="16">
        <f t="shared" si="32"/>
        <v>0</v>
      </c>
      <c r="J149" s="16">
        <f t="shared" si="32"/>
        <v>0</v>
      </c>
      <c r="K149" s="16">
        <f t="shared" si="32"/>
        <v>0</v>
      </c>
      <c r="L149" s="16">
        <f t="shared" si="32"/>
        <v>0</v>
      </c>
      <c r="M149" s="16">
        <f t="shared" si="32"/>
        <v>0</v>
      </c>
      <c r="N149" s="16">
        <f t="shared" si="32"/>
        <v>0</v>
      </c>
      <c r="O149" s="5">
        <v>0</v>
      </c>
    </row>
    <row r="150" spans="1:15" x14ac:dyDescent="0.25">
      <c r="A150">
        <v>7</v>
      </c>
      <c r="B150" s="4">
        <f t="shared" ref="B150:N150" si="33">C150+C151</f>
        <v>1716</v>
      </c>
      <c r="C150" s="16">
        <f t="shared" si="33"/>
        <v>924</v>
      </c>
      <c r="D150" s="16">
        <f t="shared" si="33"/>
        <v>462</v>
      </c>
      <c r="E150" s="16">
        <f t="shared" si="33"/>
        <v>210</v>
      </c>
      <c r="F150" s="16">
        <f t="shared" si="33"/>
        <v>84</v>
      </c>
      <c r="G150" s="16">
        <f t="shared" si="33"/>
        <v>28</v>
      </c>
      <c r="H150" s="16">
        <f t="shared" si="33"/>
        <v>7</v>
      </c>
      <c r="I150" s="16">
        <f t="shared" si="33"/>
        <v>1</v>
      </c>
      <c r="J150" s="16">
        <f t="shared" si="33"/>
        <v>0</v>
      </c>
      <c r="K150" s="16">
        <f t="shared" si="33"/>
        <v>0</v>
      </c>
      <c r="L150" s="16">
        <f t="shared" si="33"/>
        <v>0</v>
      </c>
      <c r="M150" s="16">
        <f t="shared" si="33"/>
        <v>0</v>
      </c>
      <c r="N150" s="16">
        <f t="shared" si="33"/>
        <v>0</v>
      </c>
      <c r="O150" s="5">
        <v>0</v>
      </c>
    </row>
    <row r="151" spans="1:15" x14ac:dyDescent="0.25">
      <c r="A151">
        <v>8</v>
      </c>
      <c r="B151" s="4">
        <f t="shared" ref="B151:N151" si="34">C151+C152</f>
        <v>1287</v>
      </c>
      <c r="C151" s="16">
        <f t="shared" si="34"/>
        <v>792</v>
      </c>
      <c r="D151" s="16">
        <f t="shared" si="34"/>
        <v>462</v>
      </c>
      <c r="E151" s="16">
        <f t="shared" si="34"/>
        <v>252</v>
      </c>
      <c r="F151" s="16">
        <f t="shared" si="34"/>
        <v>126</v>
      </c>
      <c r="G151" s="16">
        <f t="shared" si="34"/>
        <v>56</v>
      </c>
      <c r="H151" s="16">
        <f t="shared" si="34"/>
        <v>21</v>
      </c>
      <c r="I151" s="16">
        <f t="shared" si="34"/>
        <v>6</v>
      </c>
      <c r="J151" s="16">
        <f t="shared" si="34"/>
        <v>1</v>
      </c>
      <c r="K151" s="16">
        <f t="shared" si="34"/>
        <v>0</v>
      </c>
      <c r="L151" s="16">
        <f t="shared" si="34"/>
        <v>0</v>
      </c>
      <c r="M151" s="16">
        <f t="shared" si="34"/>
        <v>0</v>
      </c>
      <c r="N151" s="16">
        <f t="shared" si="34"/>
        <v>0</v>
      </c>
      <c r="O151" s="5">
        <v>0</v>
      </c>
    </row>
    <row r="152" spans="1:15" x14ac:dyDescent="0.25">
      <c r="A152">
        <v>9</v>
      </c>
      <c r="B152" s="4">
        <f t="shared" ref="B152:N152" si="35">C152+C153</f>
        <v>715</v>
      </c>
      <c r="C152" s="16">
        <f t="shared" si="35"/>
        <v>495</v>
      </c>
      <c r="D152" s="16">
        <f t="shared" si="35"/>
        <v>330</v>
      </c>
      <c r="E152" s="16">
        <f t="shared" si="35"/>
        <v>210</v>
      </c>
      <c r="F152" s="16">
        <f t="shared" si="35"/>
        <v>126</v>
      </c>
      <c r="G152" s="16">
        <f t="shared" si="35"/>
        <v>70</v>
      </c>
      <c r="H152" s="16">
        <f t="shared" si="35"/>
        <v>35</v>
      </c>
      <c r="I152" s="16">
        <f t="shared" si="35"/>
        <v>15</v>
      </c>
      <c r="J152" s="16">
        <f t="shared" si="35"/>
        <v>5</v>
      </c>
      <c r="K152" s="16">
        <f t="shared" si="35"/>
        <v>1</v>
      </c>
      <c r="L152" s="16">
        <f t="shared" si="35"/>
        <v>0</v>
      </c>
      <c r="M152" s="16">
        <f t="shared" si="35"/>
        <v>0</v>
      </c>
      <c r="N152" s="16">
        <f t="shared" si="35"/>
        <v>0</v>
      </c>
      <c r="O152" s="5">
        <v>0</v>
      </c>
    </row>
    <row r="153" spans="1:15" x14ac:dyDescent="0.25">
      <c r="A153">
        <v>10</v>
      </c>
      <c r="B153" s="4">
        <f t="shared" ref="B153:N153" si="36">C153+C154</f>
        <v>286</v>
      </c>
      <c r="C153" s="16">
        <f t="shared" si="36"/>
        <v>220</v>
      </c>
      <c r="D153" s="16">
        <f t="shared" si="36"/>
        <v>165</v>
      </c>
      <c r="E153" s="16">
        <f t="shared" si="36"/>
        <v>120</v>
      </c>
      <c r="F153" s="16">
        <f t="shared" si="36"/>
        <v>84</v>
      </c>
      <c r="G153" s="16">
        <f t="shared" si="36"/>
        <v>56</v>
      </c>
      <c r="H153" s="16">
        <f t="shared" si="36"/>
        <v>35</v>
      </c>
      <c r="I153" s="16">
        <f t="shared" si="36"/>
        <v>20</v>
      </c>
      <c r="J153" s="16">
        <f t="shared" si="36"/>
        <v>10</v>
      </c>
      <c r="K153" s="16">
        <f t="shared" si="36"/>
        <v>4</v>
      </c>
      <c r="L153" s="16">
        <f t="shared" si="36"/>
        <v>1</v>
      </c>
      <c r="M153" s="16">
        <f t="shared" si="36"/>
        <v>0</v>
      </c>
      <c r="N153" s="16">
        <f t="shared" si="36"/>
        <v>0</v>
      </c>
      <c r="O153" s="5">
        <v>0</v>
      </c>
    </row>
    <row r="154" spans="1:15" x14ac:dyDescent="0.25">
      <c r="A154">
        <v>11</v>
      </c>
      <c r="B154" s="4">
        <f t="shared" ref="B154:N154" si="37">C154+C155</f>
        <v>78</v>
      </c>
      <c r="C154" s="16">
        <f t="shared" si="37"/>
        <v>66</v>
      </c>
      <c r="D154" s="16">
        <f t="shared" si="37"/>
        <v>55</v>
      </c>
      <c r="E154" s="16">
        <f t="shared" si="37"/>
        <v>45</v>
      </c>
      <c r="F154" s="16">
        <f t="shared" si="37"/>
        <v>36</v>
      </c>
      <c r="G154" s="16">
        <f t="shared" si="37"/>
        <v>28</v>
      </c>
      <c r="H154" s="16">
        <f t="shared" si="37"/>
        <v>21</v>
      </c>
      <c r="I154" s="16">
        <f t="shared" si="37"/>
        <v>15</v>
      </c>
      <c r="J154" s="16">
        <f t="shared" si="37"/>
        <v>10</v>
      </c>
      <c r="K154" s="16">
        <f t="shared" si="37"/>
        <v>6</v>
      </c>
      <c r="L154" s="16">
        <f t="shared" si="37"/>
        <v>3</v>
      </c>
      <c r="M154" s="16">
        <f t="shared" si="37"/>
        <v>1</v>
      </c>
      <c r="N154" s="16">
        <f t="shared" si="37"/>
        <v>0</v>
      </c>
      <c r="O154" s="5">
        <v>0</v>
      </c>
    </row>
    <row r="155" spans="1:15" x14ac:dyDescent="0.25">
      <c r="A155">
        <v>12</v>
      </c>
      <c r="B155" s="4">
        <f t="shared" ref="B155:M155" si="38">C155+C156</f>
        <v>13</v>
      </c>
      <c r="C155" s="16">
        <f t="shared" si="38"/>
        <v>12</v>
      </c>
      <c r="D155" s="16">
        <f t="shared" si="38"/>
        <v>11</v>
      </c>
      <c r="E155" s="16">
        <f t="shared" si="38"/>
        <v>10</v>
      </c>
      <c r="F155" s="16">
        <f t="shared" si="38"/>
        <v>9</v>
      </c>
      <c r="G155" s="16">
        <f t="shared" si="38"/>
        <v>8</v>
      </c>
      <c r="H155" s="16">
        <f t="shared" si="38"/>
        <v>7</v>
      </c>
      <c r="I155" s="16">
        <f t="shared" si="38"/>
        <v>6</v>
      </c>
      <c r="J155" s="16">
        <f t="shared" si="38"/>
        <v>5</v>
      </c>
      <c r="K155" s="16">
        <f t="shared" si="38"/>
        <v>4</v>
      </c>
      <c r="L155" s="16">
        <f t="shared" si="38"/>
        <v>3</v>
      </c>
      <c r="M155" s="16">
        <f t="shared" si="38"/>
        <v>2</v>
      </c>
      <c r="N155" s="16">
        <f>O155+O156</f>
        <v>1</v>
      </c>
      <c r="O155" s="5">
        <v>0</v>
      </c>
    </row>
    <row r="156" spans="1:15" ht="13.8" thickBot="1" x14ac:dyDescent="0.3">
      <c r="A156">
        <v>13</v>
      </c>
      <c r="B156" s="23">
        <v>1</v>
      </c>
      <c r="C156" s="24">
        <v>1</v>
      </c>
      <c r="D156" s="24">
        <v>1</v>
      </c>
      <c r="E156" s="24">
        <v>1</v>
      </c>
      <c r="F156" s="24">
        <v>1</v>
      </c>
      <c r="G156" s="24">
        <v>1</v>
      </c>
      <c r="H156" s="24">
        <v>1</v>
      </c>
      <c r="I156" s="24">
        <v>1</v>
      </c>
      <c r="J156" s="24">
        <v>1</v>
      </c>
      <c r="K156" s="24">
        <v>1</v>
      </c>
      <c r="L156" s="24">
        <v>1</v>
      </c>
      <c r="M156" s="24">
        <v>1</v>
      </c>
      <c r="N156" s="24">
        <v>1</v>
      </c>
      <c r="O156" s="25">
        <v>1</v>
      </c>
    </row>
    <row r="159" spans="1:15" x14ac:dyDescent="0.25">
      <c r="B159" s="16">
        <v>1</v>
      </c>
      <c r="C159" s="16">
        <v>13</v>
      </c>
      <c r="D159" s="16">
        <v>78</v>
      </c>
      <c r="E159" s="16">
        <v>286</v>
      </c>
      <c r="F159" s="16">
        <v>715</v>
      </c>
      <c r="G159" s="16">
        <v>1287</v>
      </c>
      <c r="H159" s="16">
        <v>1716</v>
      </c>
      <c r="I159" s="16">
        <v>1716</v>
      </c>
      <c r="J159" s="16">
        <v>1287</v>
      </c>
      <c r="K159" s="16">
        <v>715</v>
      </c>
      <c r="L159" s="16">
        <v>286</v>
      </c>
      <c r="M159" s="16">
        <v>78</v>
      </c>
      <c r="N159" s="16">
        <v>13</v>
      </c>
      <c r="O159">
        <v>1</v>
      </c>
    </row>
    <row r="160" spans="1:15" x14ac:dyDescent="0.25">
      <c r="A160" s="26" t="s">
        <v>45</v>
      </c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</row>
    <row r="161" spans="1:15" ht="13.8" thickBot="1" x14ac:dyDescent="0.3">
      <c r="B161">
        <v>0</v>
      </c>
      <c r="C161">
        <v>1</v>
      </c>
      <c r="D161">
        <v>2</v>
      </c>
      <c r="E161">
        <v>3</v>
      </c>
      <c r="F161">
        <v>4</v>
      </c>
      <c r="G161">
        <v>5</v>
      </c>
      <c r="H161">
        <v>6</v>
      </c>
      <c r="I161">
        <v>7</v>
      </c>
      <c r="J161">
        <v>8</v>
      </c>
      <c r="K161">
        <v>9</v>
      </c>
      <c r="L161">
        <v>10</v>
      </c>
      <c r="M161">
        <v>11</v>
      </c>
      <c r="N161">
        <v>12</v>
      </c>
      <c r="O161">
        <v>13</v>
      </c>
    </row>
    <row r="162" spans="1:15" x14ac:dyDescent="0.25">
      <c r="A162">
        <v>0</v>
      </c>
      <c r="B162" s="2">
        <f>B143*B$159 * -1^(B$161+$A162)</f>
        <v>1</v>
      </c>
      <c r="C162" s="22">
        <f t="shared" ref="C162:O162" si="39">C143*C$159 * -1^(C$161+$A162)</f>
        <v>0</v>
      </c>
      <c r="D162" s="22">
        <f t="shared" si="39"/>
        <v>0</v>
      </c>
      <c r="E162" s="22">
        <f t="shared" si="39"/>
        <v>0</v>
      </c>
      <c r="F162" s="22">
        <f t="shared" si="39"/>
        <v>0</v>
      </c>
      <c r="G162" s="22">
        <f t="shared" si="39"/>
        <v>0</v>
      </c>
      <c r="H162" s="22">
        <f t="shared" si="39"/>
        <v>0</v>
      </c>
      <c r="I162" s="22">
        <f t="shared" si="39"/>
        <v>0</v>
      </c>
      <c r="J162" s="22">
        <f t="shared" si="39"/>
        <v>0</v>
      </c>
      <c r="K162" s="22">
        <f t="shared" si="39"/>
        <v>0</v>
      </c>
      <c r="L162" s="22">
        <f t="shared" si="39"/>
        <v>0</v>
      </c>
      <c r="M162" s="22">
        <f t="shared" si="39"/>
        <v>0</v>
      </c>
      <c r="N162" s="22">
        <f t="shared" si="39"/>
        <v>0</v>
      </c>
      <c r="O162" s="3">
        <f t="shared" si="39"/>
        <v>0</v>
      </c>
    </row>
    <row r="163" spans="1:15" x14ac:dyDescent="0.25">
      <c r="A163">
        <v>1</v>
      </c>
      <c r="B163" s="4">
        <f t="shared" ref="B163:O175" si="40">B144*B$159 * -1^(B$161+$A163)</f>
        <v>-13</v>
      </c>
      <c r="C163" s="16">
        <f t="shared" si="40"/>
        <v>13</v>
      </c>
      <c r="D163" s="16">
        <f t="shared" si="40"/>
        <v>0</v>
      </c>
      <c r="E163" s="16">
        <f t="shared" si="40"/>
        <v>0</v>
      </c>
      <c r="F163" s="16">
        <f t="shared" si="40"/>
        <v>0</v>
      </c>
      <c r="G163" s="16">
        <f t="shared" si="40"/>
        <v>0</v>
      </c>
      <c r="H163" s="16">
        <f t="shared" si="40"/>
        <v>0</v>
      </c>
      <c r="I163" s="16">
        <f t="shared" si="40"/>
        <v>0</v>
      </c>
      <c r="J163" s="16">
        <f t="shared" si="40"/>
        <v>0</v>
      </c>
      <c r="K163" s="16">
        <f t="shared" si="40"/>
        <v>0</v>
      </c>
      <c r="L163" s="16">
        <f t="shared" si="40"/>
        <v>0</v>
      </c>
      <c r="M163" s="16">
        <f t="shared" si="40"/>
        <v>0</v>
      </c>
      <c r="N163" s="16">
        <f t="shared" si="40"/>
        <v>0</v>
      </c>
      <c r="O163" s="5">
        <f t="shared" si="40"/>
        <v>0</v>
      </c>
    </row>
    <row r="164" spans="1:15" x14ac:dyDescent="0.25">
      <c r="A164">
        <v>2</v>
      </c>
      <c r="B164" s="4">
        <f t="shared" si="40"/>
        <v>78</v>
      </c>
      <c r="C164" s="16">
        <f t="shared" si="40"/>
        <v>-156</v>
      </c>
      <c r="D164" s="16">
        <f t="shared" si="40"/>
        <v>78</v>
      </c>
      <c r="E164" s="16">
        <f t="shared" si="40"/>
        <v>0</v>
      </c>
      <c r="F164" s="16">
        <f t="shared" si="40"/>
        <v>0</v>
      </c>
      <c r="G164" s="16">
        <f t="shared" si="40"/>
        <v>0</v>
      </c>
      <c r="H164" s="16">
        <f t="shared" si="40"/>
        <v>0</v>
      </c>
      <c r="I164" s="16">
        <f t="shared" si="40"/>
        <v>0</v>
      </c>
      <c r="J164" s="16">
        <f t="shared" si="40"/>
        <v>0</v>
      </c>
      <c r="K164" s="16">
        <f t="shared" si="40"/>
        <v>0</v>
      </c>
      <c r="L164" s="16">
        <f t="shared" si="40"/>
        <v>0</v>
      </c>
      <c r="M164" s="16">
        <f t="shared" si="40"/>
        <v>0</v>
      </c>
      <c r="N164" s="16">
        <f t="shared" si="40"/>
        <v>0</v>
      </c>
      <c r="O164" s="5">
        <f t="shared" si="40"/>
        <v>0</v>
      </c>
    </row>
    <row r="165" spans="1:15" x14ac:dyDescent="0.25">
      <c r="A165">
        <v>3</v>
      </c>
      <c r="B165" s="4">
        <f t="shared" si="40"/>
        <v>-286</v>
      </c>
      <c r="C165" s="16">
        <f t="shared" si="40"/>
        <v>858</v>
      </c>
      <c r="D165" s="16">
        <f t="shared" si="40"/>
        <v>-858</v>
      </c>
      <c r="E165" s="16">
        <f t="shared" si="40"/>
        <v>286</v>
      </c>
      <c r="F165" s="16">
        <f t="shared" si="40"/>
        <v>0</v>
      </c>
      <c r="G165" s="16">
        <f t="shared" si="40"/>
        <v>0</v>
      </c>
      <c r="H165" s="16">
        <f t="shared" si="40"/>
        <v>0</v>
      </c>
      <c r="I165" s="16">
        <f t="shared" si="40"/>
        <v>0</v>
      </c>
      <c r="J165" s="16">
        <f t="shared" si="40"/>
        <v>0</v>
      </c>
      <c r="K165" s="16">
        <f t="shared" si="40"/>
        <v>0</v>
      </c>
      <c r="L165" s="16">
        <f t="shared" si="40"/>
        <v>0</v>
      </c>
      <c r="M165" s="16">
        <f t="shared" si="40"/>
        <v>0</v>
      </c>
      <c r="N165" s="16">
        <f t="shared" si="40"/>
        <v>0</v>
      </c>
      <c r="O165" s="5">
        <f t="shared" si="40"/>
        <v>0</v>
      </c>
    </row>
    <row r="166" spans="1:15" x14ac:dyDescent="0.25">
      <c r="A166">
        <v>4</v>
      </c>
      <c r="B166" s="4">
        <f t="shared" si="40"/>
        <v>715</v>
      </c>
      <c r="C166" s="16">
        <f t="shared" si="40"/>
        <v>-2860</v>
      </c>
      <c r="D166" s="16">
        <f t="shared" si="40"/>
        <v>4290</v>
      </c>
      <c r="E166" s="16">
        <f t="shared" si="40"/>
        <v>-2860</v>
      </c>
      <c r="F166" s="16">
        <f t="shared" si="40"/>
        <v>715</v>
      </c>
      <c r="G166" s="16">
        <f t="shared" si="40"/>
        <v>0</v>
      </c>
      <c r="H166" s="16">
        <f t="shared" si="40"/>
        <v>0</v>
      </c>
      <c r="I166" s="16">
        <f t="shared" si="40"/>
        <v>0</v>
      </c>
      <c r="J166" s="16">
        <f t="shared" si="40"/>
        <v>0</v>
      </c>
      <c r="K166" s="16">
        <f t="shared" si="40"/>
        <v>0</v>
      </c>
      <c r="L166" s="16">
        <f t="shared" si="40"/>
        <v>0</v>
      </c>
      <c r="M166" s="16">
        <f t="shared" si="40"/>
        <v>0</v>
      </c>
      <c r="N166" s="16">
        <f t="shared" si="40"/>
        <v>0</v>
      </c>
      <c r="O166" s="5">
        <f t="shared" si="40"/>
        <v>0</v>
      </c>
    </row>
    <row r="167" spans="1:15" x14ac:dyDescent="0.25">
      <c r="A167">
        <v>5</v>
      </c>
      <c r="B167" s="4">
        <f t="shared" si="40"/>
        <v>-1287</v>
      </c>
      <c r="C167" s="16">
        <f t="shared" si="40"/>
        <v>6435</v>
      </c>
      <c r="D167" s="16">
        <f t="shared" si="40"/>
        <v>-12870</v>
      </c>
      <c r="E167" s="16">
        <f t="shared" si="40"/>
        <v>12870</v>
      </c>
      <c r="F167" s="16">
        <f t="shared" si="40"/>
        <v>-6435</v>
      </c>
      <c r="G167" s="16">
        <f t="shared" si="40"/>
        <v>1287</v>
      </c>
      <c r="H167" s="16">
        <f t="shared" si="40"/>
        <v>0</v>
      </c>
      <c r="I167" s="16">
        <f t="shared" si="40"/>
        <v>0</v>
      </c>
      <c r="J167" s="16">
        <f t="shared" si="40"/>
        <v>0</v>
      </c>
      <c r="K167" s="16">
        <f t="shared" si="40"/>
        <v>0</v>
      </c>
      <c r="L167" s="16">
        <f t="shared" si="40"/>
        <v>0</v>
      </c>
      <c r="M167" s="16">
        <f t="shared" si="40"/>
        <v>0</v>
      </c>
      <c r="N167" s="16">
        <f t="shared" si="40"/>
        <v>0</v>
      </c>
      <c r="O167" s="5">
        <f t="shared" si="40"/>
        <v>0</v>
      </c>
    </row>
    <row r="168" spans="1:15" x14ac:dyDescent="0.25">
      <c r="A168">
        <v>6</v>
      </c>
      <c r="B168" s="4">
        <f t="shared" si="40"/>
        <v>1716</v>
      </c>
      <c r="C168" s="16">
        <f t="shared" si="40"/>
        <v>-10296</v>
      </c>
      <c r="D168" s="16">
        <f t="shared" si="40"/>
        <v>25740</v>
      </c>
      <c r="E168" s="16">
        <f t="shared" si="40"/>
        <v>-34320</v>
      </c>
      <c r="F168" s="16">
        <f t="shared" si="40"/>
        <v>25740</v>
      </c>
      <c r="G168" s="16">
        <f t="shared" si="40"/>
        <v>-10296</v>
      </c>
      <c r="H168" s="16">
        <f t="shared" si="40"/>
        <v>1716</v>
      </c>
      <c r="I168" s="16">
        <f t="shared" si="40"/>
        <v>0</v>
      </c>
      <c r="J168" s="16">
        <f t="shared" si="40"/>
        <v>0</v>
      </c>
      <c r="K168" s="16">
        <f t="shared" si="40"/>
        <v>0</v>
      </c>
      <c r="L168" s="16">
        <f t="shared" si="40"/>
        <v>0</v>
      </c>
      <c r="M168" s="16">
        <f t="shared" si="40"/>
        <v>0</v>
      </c>
      <c r="N168" s="16">
        <f t="shared" si="40"/>
        <v>0</v>
      </c>
      <c r="O168" s="5">
        <f t="shared" si="40"/>
        <v>0</v>
      </c>
    </row>
    <row r="169" spans="1:15" x14ac:dyDescent="0.25">
      <c r="A169">
        <v>7</v>
      </c>
      <c r="B169" s="4">
        <f t="shared" si="40"/>
        <v>-1716</v>
      </c>
      <c r="C169" s="16">
        <f t="shared" si="40"/>
        <v>12012</v>
      </c>
      <c r="D169" s="16">
        <f t="shared" si="40"/>
        <v>-36036</v>
      </c>
      <c r="E169" s="16">
        <f t="shared" si="40"/>
        <v>60060</v>
      </c>
      <c r="F169" s="16">
        <f t="shared" si="40"/>
        <v>-60060</v>
      </c>
      <c r="G169" s="16">
        <f t="shared" si="40"/>
        <v>36036</v>
      </c>
      <c r="H169" s="16">
        <f t="shared" si="40"/>
        <v>-12012</v>
      </c>
      <c r="I169" s="16">
        <f t="shared" si="40"/>
        <v>1716</v>
      </c>
      <c r="J169" s="16">
        <f t="shared" si="40"/>
        <v>0</v>
      </c>
      <c r="K169" s="16">
        <f t="shared" si="40"/>
        <v>0</v>
      </c>
      <c r="L169" s="16">
        <f t="shared" si="40"/>
        <v>0</v>
      </c>
      <c r="M169" s="16">
        <f t="shared" si="40"/>
        <v>0</v>
      </c>
      <c r="N169" s="16">
        <f t="shared" si="40"/>
        <v>0</v>
      </c>
      <c r="O169" s="5">
        <f t="shared" si="40"/>
        <v>0</v>
      </c>
    </row>
    <row r="170" spans="1:15" x14ac:dyDescent="0.25">
      <c r="A170">
        <v>8</v>
      </c>
      <c r="B170" s="4">
        <f t="shared" si="40"/>
        <v>1287</v>
      </c>
      <c r="C170" s="16">
        <f t="shared" si="40"/>
        <v>-10296</v>
      </c>
      <c r="D170" s="16">
        <f t="shared" si="40"/>
        <v>36036</v>
      </c>
      <c r="E170" s="16">
        <f t="shared" si="40"/>
        <v>-72072</v>
      </c>
      <c r="F170" s="16">
        <f t="shared" si="40"/>
        <v>90090</v>
      </c>
      <c r="G170" s="16">
        <f t="shared" si="40"/>
        <v>-72072</v>
      </c>
      <c r="H170" s="16">
        <f t="shared" si="40"/>
        <v>36036</v>
      </c>
      <c r="I170" s="16">
        <f t="shared" si="40"/>
        <v>-10296</v>
      </c>
      <c r="J170" s="16">
        <f t="shared" si="40"/>
        <v>1287</v>
      </c>
      <c r="K170" s="16">
        <f t="shared" si="40"/>
        <v>0</v>
      </c>
      <c r="L170" s="16">
        <f t="shared" si="40"/>
        <v>0</v>
      </c>
      <c r="M170" s="16">
        <f t="shared" si="40"/>
        <v>0</v>
      </c>
      <c r="N170" s="16">
        <f t="shared" si="40"/>
        <v>0</v>
      </c>
      <c r="O170" s="5">
        <f t="shared" si="40"/>
        <v>0</v>
      </c>
    </row>
    <row r="171" spans="1:15" x14ac:dyDescent="0.25">
      <c r="A171">
        <v>9</v>
      </c>
      <c r="B171" s="4">
        <f t="shared" si="40"/>
        <v>-715</v>
      </c>
      <c r="C171" s="16">
        <f t="shared" si="40"/>
        <v>6435</v>
      </c>
      <c r="D171" s="16">
        <f t="shared" si="40"/>
        <v>-25740</v>
      </c>
      <c r="E171" s="16">
        <f t="shared" si="40"/>
        <v>60060</v>
      </c>
      <c r="F171" s="16">
        <f t="shared" si="40"/>
        <v>-90090</v>
      </c>
      <c r="G171" s="16">
        <f t="shared" si="40"/>
        <v>90090</v>
      </c>
      <c r="H171" s="16">
        <f t="shared" si="40"/>
        <v>-60060</v>
      </c>
      <c r="I171" s="16">
        <f t="shared" si="40"/>
        <v>25740</v>
      </c>
      <c r="J171" s="16">
        <f t="shared" si="40"/>
        <v>-6435</v>
      </c>
      <c r="K171" s="16">
        <f t="shared" si="40"/>
        <v>715</v>
      </c>
      <c r="L171" s="16">
        <f t="shared" si="40"/>
        <v>0</v>
      </c>
      <c r="M171" s="16">
        <f t="shared" si="40"/>
        <v>0</v>
      </c>
      <c r="N171" s="16">
        <f t="shared" si="40"/>
        <v>0</v>
      </c>
      <c r="O171" s="5">
        <f t="shared" si="40"/>
        <v>0</v>
      </c>
    </row>
    <row r="172" spans="1:15" x14ac:dyDescent="0.25">
      <c r="A172">
        <v>10</v>
      </c>
      <c r="B172" s="4">
        <f t="shared" si="40"/>
        <v>286</v>
      </c>
      <c r="C172" s="16">
        <f t="shared" si="40"/>
        <v>-2860</v>
      </c>
      <c r="D172" s="16">
        <f t="shared" si="40"/>
        <v>12870</v>
      </c>
      <c r="E172" s="16">
        <f t="shared" si="40"/>
        <v>-34320</v>
      </c>
      <c r="F172" s="16">
        <f t="shared" si="40"/>
        <v>60060</v>
      </c>
      <c r="G172" s="16">
        <f t="shared" si="40"/>
        <v>-72072</v>
      </c>
      <c r="H172" s="16">
        <f t="shared" si="40"/>
        <v>60060</v>
      </c>
      <c r="I172" s="16">
        <f t="shared" si="40"/>
        <v>-34320</v>
      </c>
      <c r="J172" s="16">
        <f t="shared" si="40"/>
        <v>12870</v>
      </c>
      <c r="K172" s="16">
        <f t="shared" si="40"/>
        <v>-2860</v>
      </c>
      <c r="L172" s="16">
        <f t="shared" si="40"/>
        <v>286</v>
      </c>
      <c r="M172" s="16">
        <f t="shared" si="40"/>
        <v>0</v>
      </c>
      <c r="N172" s="16">
        <f t="shared" si="40"/>
        <v>0</v>
      </c>
      <c r="O172" s="5">
        <f t="shared" si="40"/>
        <v>0</v>
      </c>
    </row>
    <row r="173" spans="1:15" x14ac:dyDescent="0.25">
      <c r="A173">
        <v>11</v>
      </c>
      <c r="B173" s="4">
        <f t="shared" si="40"/>
        <v>-78</v>
      </c>
      <c r="C173" s="16">
        <f t="shared" si="40"/>
        <v>858</v>
      </c>
      <c r="D173" s="16">
        <f t="shared" si="40"/>
        <v>-4290</v>
      </c>
      <c r="E173" s="16">
        <f t="shared" si="40"/>
        <v>12870</v>
      </c>
      <c r="F173" s="16">
        <f t="shared" si="40"/>
        <v>-25740</v>
      </c>
      <c r="G173" s="16">
        <f t="shared" si="40"/>
        <v>36036</v>
      </c>
      <c r="H173" s="16">
        <f t="shared" si="40"/>
        <v>-36036</v>
      </c>
      <c r="I173" s="16">
        <f t="shared" si="40"/>
        <v>25740</v>
      </c>
      <c r="J173" s="16">
        <f t="shared" si="40"/>
        <v>-12870</v>
      </c>
      <c r="K173" s="16">
        <f t="shared" si="40"/>
        <v>4290</v>
      </c>
      <c r="L173" s="16">
        <f t="shared" si="40"/>
        <v>-858</v>
      </c>
      <c r="M173" s="16">
        <f t="shared" si="40"/>
        <v>78</v>
      </c>
      <c r="N173" s="16">
        <f t="shared" si="40"/>
        <v>0</v>
      </c>
      <c r="O173" s="5">
        <f t="shared" si="40"/>
        <v>0</v>
      </c>
    </row>
    <row r="174" spans="1:15" x14ac:dyDescent="0.25">
      <c r="A174">
        <v>12</v>
      </c>
      <c r="B174" s="4">
        <f t="shared" si="40"/>
        <v>13</v>
      </c>
      <c r="C174" s="16">
        <f t="shared" si="40"/>
        <v>-156</v>
      </c>
      <c r="D174" s="16">
        <f t="shared" si="40"/>
        <v>858</v>
      </c>
      <c r="E174" s="16">
        <f t="shared" si="40"/>
        <v>-2860</v>
      </c>
      <c r="F174" s="16">
        <f t="shared" si="40"/>
        <v>6435</v>
      </c>
      <c r="G174" s="16">
        <f t="shared" si="40"/>
        <v>-10296</v>
      </c>
      <c r="H174" s="16">
        <f t="shared" si="40"/>
        <v>12012</v>
      </c>
      <c r="I174" s="16">
        <f t="shared" si="40"/>
        <v>-10296</v>
      </c>
      <c r="J174" s="16">
        <f t="shared" si="40"/>
        <v>6435</v>
      </c>
      <c r="K174" s="16">
        <f t="shared" si="40"/>
        <v>-2860</v>
      </c>
      <c r="L174" s="16">
        <f t="shared" si="40"/>
        <v>858</v>
      </c>
      <c r="M174" s="16">
        <f t="shared" si="40"/>
        <v>-156</v>
      </c>
      <c r="N174" s="16">
        <f t="shared" si="40"/>
        <v>13</v>
      </c>
      <c r="O174" s="5">
        <f t="shared" si="40"/>
        <v>0</v>
      </c>
    </row>
    <row r="175" spans="1:15" ht="13.8" thickBot="1" x14ac:dyDescent="0.3">
      <c r="A175">
        <v>13</v>
      </c>
      <c r="B175" s="23">
        <f t="shared" si="40"/>
        <v>-1</v>
      </c>
      <c r="C175" s="24">
        <f t="shared" si="40"/>
        <v>13</v>
      </c>
      <c r="D175" s="24">
        <f t="shared" si="40"/>
        <v>-78</v>
      </c>
      <c r="E175" s="24">
        <f t="shared" si="40"/>
        <v>286</v>
      </c>
      <c r="F175" s="24">
        <f t="shared" si="40"/>
        <v>-715</v>
      </c>
      <c r="G175" s="24">
        <f t="shared" si="40"/>
        <v>1287</v>
      </c>
      <c r="H175" s="24">
        <f t="shared" si="40"/>
        <v>-1716</v>
      </c>
      <c r="I175" s="24">
        <f t="shared" si="40"/>
        <v>1716</v>
      </c>
      <c r="J175" s="24">
        <f t="shared" si="40"/>
        <v>-1287</v>
      </c>
      <c r="K175" s="24">
        <f t="shared" si="40"/>
        <v>715</v>
      </c>
      <c r="L175" s="24">
        <f t="shared" si="40"/>
        <v>-286</v>
      </c>
      <c r="M175" s="24">
        <f t="shared" si="40"/>
        <v>78</v>
      </c>
      <c r="N175" s="24">
        <f t="shared" si="40"/>
        <v>-13</v>
      </c>
      <c r="O175" s="25">
        <f t="shared" si="40"/>
        <v>1</v>
      </c>
    </row>
    <row r="179" spans="1:3" ht="13.8" thickBot="1" x14ac:dyDescent="0.3">
      <c r="A179" t="s">
        <v>44</v>
      </c>
    </row>
    <row r="180" spans="1:3" x14ac:dyDescent="0.25">
      <c r="B180" s="2">
        <f t="array" ref="B180:C193">MMULT(B162:O175,B6:C19)</f>
        <v>80</v>
      </c>
      <c r="C180" s="3">
        <v>30</v>
      </c>
    </row>
    <row r="181" spans="1:3" x14ac:dyDescent="0.25">
      <c r="B181" s="4">
        <v>-390</v>
      </c>
      <c r="C181" s="5">
        <v>130</v>
      </c>
    </row>
    <row r="182" spans="1:3" x14ac:dyDescent="0.25">
      <c r="B182" s="4">
        <v>-780</v>
      </c>
      <c r="C182" s="5">
        <v>-2340</v>
      </c>
    </row>
    <row r="183" spans="1:3" x14ac:dyDescent="0.25">
      <c r="B183" s="4">
        <v>25740</v>
      </c>
      <c r="C183" s="5">
        <v>11440</v>
      </c>
    </row>
    <row r="184" spans="1:3" x14ac:dyDescent="0.25">
      <c r="B184" s="4">
        <v>-128700</v>
      </c>
      <c r="C184" s="5">
        <v>-14300</v>
      </c>
    </row>
    <row r="185" spans="1:3" x14ac:dyDescent="0.25">
      <c r="B185" s="4">
        <v>347490</v>
      </c>
      <c r="C185" s="5">
        <v>-38610</v>
      </c>
    </row>
    <row r="186" spans="1:3" x14ac:dyDescent="0.25">
      <c r="B186" s="4">
        <v>-669240</v>
      </c>
      <c r="C186" s="5">
        <v>154440</v>
      </c>
    </row>
    <row r="187" spans="1:3" x14ac:dyDescent="0.25">
      <c r="B187" s="4">
        <v>1029600</v>
      </c>
      <c r="C187" s="5">
        <v>-205920</v>
      </c>
    </row>
    <row r="188" spans="1:3" x14ac:dyDescent="0.25">
      <c r="B188" s="4">
        <v>-1248390</v>
      </c>
      <c r="C188" s="5">
        <v>77220</v>
      </c>
    </row>
    <row r="189" spans="1:3" x14ac:dyDescent="0.25">
      <c r="B189" s="4">
        <v>1165450</v>
      </c>
      <c r="C189" s="5">
        <v>128700</v>
      </c>
    </row>
    <row r="190" spans="1:3" x14ac:dyDescent="0.25">
      <c r="B190" s="4">
        <v>-866580</v>
      </c>
      <c r="C190" s="5">
        <v>-205920</v>
      </c>
    </row>
    <row r="191" spans="1:3" x14ac:dyDescent="0.25">
      <c r="B191" s="4">
        <v>512460</v>
      </c>
      <c r="C191" s="5">
        <v>126360</v>
      </c>
    </row>
    <row r="192" spans="1:3" x14ac:dyDescent="0.25">
      <c r="B192" s="4">
        <v>-204490</v>
      </c>
      <c r="C192" s="5">
        <v>-33345</v>
      </c>
    </row>
    <row r="193" spans="2:3" ht="13.8" thickBot="1" x14ac:dyDescent="0.3">
      <c r="B193" s="23">
        <v>37770</v>
      </c>
      <c r="C193" s="25">
        <v>2175</v>
      </c>
    </row>
  </sheetData>
  <phoneticPr fontId="0" type="noConversion"/>
  <pageMargins left="0.74803149606299213" right="0.74803149606299213" top="0.98425196850393704" bottom="0.98425196850393704" header="0.51181102362204722" footer="0.51181102362204722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2"/>
  <sheetViews>
    <sheetView topLeftCell="A19" zoomScaleNormal="100" workbookViewId="0">
      <selection activeCell="C17" sqref="C17"/>
    </sheetView>
  </sheetViews>
  <sheetFormatPr defaultRowHeight="13.2" x14ac:dyDescent="0.25"/>
  <sheetData>
    <row r="1" spans="1:3" ht="28.2" x14ac:dyDescent="0.5">
      <c r="A1" s="13" t="s">
        <v>21</v>
      </c>
    </row>
    <row r="2" spans="1:3" ht="28.2" x14ac:dyDescent="0.5">
      <c r="A2" s="13"/>
    </row>
    <row r="3" spans="1:3" ht="17.399999999999999" x14ac:dyDescent="0.3">
      <c r="A3" s="1" t="s">
        <v>23</v>
      </c>
    </row>
    <row r="4" spans="1:3" ht="17.399999999999999" x14ac:dyDescent="0.3">
      <c r="A4" s="1"/>
    </row>
    <row r="5" spans="1:3" ht="13.8" thickBot="1" x14ac:dyDescent="0.3">
      <c r="B5" s="6" t="s">
        <v>0</v>
      </c>
      <c r="C5" s="6" t="s">
        <v>1</v>
      </c>
    </row>
    <row r="6" spans="1:3" ht="13.8" x14ac:dyDescent="0.3">
      <c r="A6" s="7" t="s">
        <v>2</v>
      </c>
      <c r="B6" s="2">
        <v>10</v>
      </c>
      <c r="C6" s="3">
        <v>20</v>
      </c>
    </row>
    <row r="7" spans="1:3" ht="13.8" x14ac:dyDescent="0.3">
      <c r="A7" s="7" t="s">
        <v>3</v>
      </c>
      <c r="B7" s="4">
        <v>30</v>
      </c>
      <c r="C7" s="5">
        <v>5</v>
      </c>
    </row>
    <row r="8" spans="1:3" ht="13.8" x14ac:dyDescent="0.3">
      <c r="A8" s="7" t="s">
        <v>4</v>
      </c>
      <c r="B8" s="4">
        <v>60</v>
      </c>
      <c r="C8" s="5">
        <v>5</v>
      </c>
    </row>
    <row r="9" spans="1:3" ht="13.8" x14ac:dyDescent="0.3">
      <c r="A9" s="7" t="s">
        <v>5</v>
      </c>
      <c r="B9" s="4">
        <v>90</v>
      </c>
      <c r="C9" s="5">
        <v>25</v>
      </c>
    </row>
    <row r="10" spans="1:3" ht="13.8" x14ac:dyDescent="0.3">
      <c r="A10" s="7" t="s">
        <v>6</v>
      </c>
      <c r="B10" s="4">
        <v>100</v>
      </c>
      <c r="C10" s="5">
        <v>45</v>
      </c>
    </row>
    <row r="11" spans="1:3" ht="13.8" x14ac:dyDescent="0.3">
      <c r="A11" s="7" t="s">
        <v>7</v>
      </c>
      <c r="B11" s="4">
        <v>80</v>
      </c>
      <c r="C11" s="5">
        <v>55</v>
      </c>
    </row>
    <row r="12" spans="1:3" ht="13.8" x14ac:dyDescent="0.3">
      <c r="A12" s="7" t="s">
        <v>8</v>
      </c>
      <c r="B12" s="4">
        <v>85</v>
      </c>
      <c r="C12" s="5">
        <v>80</v>
      </c>
    </row>
    <row r="13" spans="1:3" ht="13.8" x14ac:dyDescent="0.3">
      <c r="A13" s="7" t="s">
        <v>9</v>
      </c>
      <c r="B13" s="10">
        <v>75</v>
      </c>
      <c r="C13" s="11">
        <v>90</v>
      </c>
    </row>
    <row r="14" spans="1:3" ht="13.8" x14ac:dyDescent="0.3">
      <c r="A14" s="7" t="s">
        <v>10</v>
      </c>
      <c r="B14" s="4">
        <v>85</v>
      </c>
      <c r="C14" s="5">
        <v>95</v>
      </c>
    </row>
    <row r="15" spans="1:3" ht="13.8" x14ac:dyDescent="0.3">
      <c r="A15" s="7" t="s">
        <v>11</v>
      </c>
      <c r="B15" s="4">
        <v>105</v>
      </c>
      <c r="C15" s="5">
        <v>85</v>
      </c>
    </row>
    <row r="16" spans="1:3" ht="13.8" x14ac:dyDescent="0.3">
      <c r="A16" s="7" t="s">
        <v>12</v>
      </c>
      <c r="B16" s="4">
        <v>105</v>
      </c>
      <c r="C16" s="5">
        <v>90</v>
      </c>
    </row>
    <row r="17" spans="1:3" ht="13.8" x14ac:dyDescent="0.3">
      <c r="A17" s="7" t="s">
        <v>13</v>
      </c>
      <c r="B17" s="10">
        <v>85</v>
      </c>
      <c r="C17" s="11">
        <v>100</v>
      </c>
    </row>
    <row r="18" spans="1:3" ht="13.8" x14ac:dyDescent="0.3">
      <c r="A18" s="7" t="s">
        <v>14</v>
      </c>
      <c r="B18" s="10">
        <v>65</v>
      </c>
      <c r="C18" s="11">
        <v>90</v>
      </c>
    </row>
    <row r="19" spans="1:3" ht="13.8" x14ac:dyDescent="0.3">
      <c r="A19" s="7" t="s">
        <v>15</v>
      </c>
      <c r="B19" s="4">
        <v>80</v>
      </c>
      <c r="C19" s="5">
        <v>75</v>
      </c>
    </row>
    <row r="20" spans="1:3" ht="13.8" x14ac:dyDescent="0.3">
      <c r="A20" s="7" t="s">
        <v>16</v>
      </c>
      <c r="B20" s="4">
        <v>75</v>
      </c>
      <c r="C20" s="5">
        <v>50</v>
      </c>
    </row>
    <row r="21" spans="1:3" ht="13.8" x14ac:dyDescent="0.3">
      <c r="A21" s="7" t="s">
        <v>17</v>
      </c>
      <c r="B21" s="10">
        <v>90</v>
      </c>
      <c r="C21" s="11">
        <v>40</v>
      </c>
    </row>
    <row r="22" spans="1:3" ht="13.8" x14ac:dyDescent="0.3">
      <c r="A22" s="7" t="s">
        <v>18</v>
      </c>
      <c r="B22" s="10">
        <v>80</v>
      </c>
      <c r="C22" s="11">
        <v>30</v>
      </c>
    </row>
    <row r="23" spans="1:3" ht="13.8" x14ac:dyDescent="0.3">
      <c r="A23" s="7" t="s">
        <v>19</v>
      </c>
      <c r="B23" s="10">
        <v>60</v>
      </c>
      <c r="C23" s="11">
        <v>15</v>
      </c>
    </row>
    <row r="24" spans="1:3" ht="13.8" x14ac:dyDescent="0.3">
      <c r="A24" s="7" t="s">
        <v>20</v>
      </c>
      <c r="B24" s="10">
        <v>30</v>
      </c>
      <c r="C24" s="11">
        <v>15</v>
      </c>
    </row>
    <row r="25" spans="1:3" ht="14.4" thickBot="1" x14ac:dyDescent="0.35">
      <c r="A25" s="7" t="s">
        <v>24</v>
      </c>
      <c r="B25" s="14">
        <v>20</v>
      </c>
      <c r="C25" s="15">
        <v>20</v>
      </c>
    </row>
    <row r="29" spans="1:3" x14ac:dyDescent="0.25">
      <c r="B29" s="12"/>
    </row>
    <row r="30" spans="1:3" x14ac:dyDescent="0.25">
      <c r="B30" s="12"/>
    </row>
    <row r="31" spans="1:3" x14ac:dyDescent="0.25">
      <c r="B31" s="12"/>
    </row>
    <row r="32" spans="1:3" x14ac:dyDescent="0.25">
      <c r="B32" s="12"/>
    </row>
  </sheetData>
  <pageMargins left="0.74803149606299213" right="0.74803149606299213" top="0.98425196850393704" bottom="0.98425196850393704" header="0.51181102362204722" footer="0.51181102362204722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445705</vt:lpstr>
      <vt:lpstr>Main</vt:lpstr>
      <vt:lpstr>Main (2)</vt:lpstr>
      <vt:lpstr>'Main (2)'!b</vt:lpstr>
      <vt:lpstr>b</vt:lpstr>
      <vt:lpstr>'Main (2)'!cc</vt:lpstr>
      <vt:lpstr>cc</vt:lpstr>
      <vt:lpstr>'Main (2)'!s</vt:lpstr>
      <vt:lpstr>s</vt:lpstr>
    </vt:vector>
  </TitlesOfParts>
  <Company>BCIT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W. Sabo</dc:creator>
  <cp:lastModifiedBy>lambmaster@hotmail.com</cp:lastModifiedBy>
  <dcterms:created xsi:type="dcterms:W3CDTF">2001-07-16T14:42:18Z</dcterms:created>
  <dcterms:modified xsi:type="dcterms:W3CDTF">2015-12-03T18:03:05Z</dcterms:modified>
</cp:coreProperties>
</file>